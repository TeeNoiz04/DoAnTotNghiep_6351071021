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TC2\DoAnTotNghiep\DPO\"/>
    </mc:Choice>
  </mc:AlternateContent>
  <xr:revisionPtr revIDLastSave="0" documentId="13_ncr:1_{898C3FB2-E49A-4F28-A29C-9AA07C6E640A}" xr6:coauthVersionLast="47" xr6:coauthVersionMax="47" xr10:uidLastSave="{00000000-0000-0000-0000-000000000000}"/>
  <bookViews>
    <workbookView xWindow="1920" yWindow="1920" windowWidth="17280" windowHeight="8880" xr2:uid="{F1034444-0232-486D-96CF-65F521278E31}"/>
  </bookViews>
  <sheets>
    <sheet name="DPO Templat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I10" i="2"/>
  <c r="I11" i="2"/>
  <c r="I12" i="2"/>
  <c r="I13" i="2"/>
  <c r="I14" i="2"/>
  <c r="I15" i="2"/>
  <c r="I16" i="2"/>
  <c r="I17" i="2"/>
  <c r="I8" i="2"/>
  <c r="G18" i="2"/>
  <c r="H18" i="2" l="1"/>
</calcChain>
</file>

<file path=xl/sharedStrings.xml><?xml version="1.0" encoding="utf-8"?>
<sst xmlns="http://schemas.openxmlformats.org/spreadsheetml/2006/main" count="40" uniqueCount="36">
  <si>
    <t>(*)</t>
  </si>
  <si>
    <t>Mandatory field</t>
  </si>
  <si>
    <t>Filled by Distributor</t>
  </si>
  <si>
    <t>Remarks</t>
  </si>
  <si>
    <t>(**)</t>
  </si>
  <si>
    <t>Mandatory if "SP code" is blank</t>
  </si>
  <si>
    <r>
      <t xml:space="preserve">DISTRIBUTOR PURCHASE ORDER (DPO)
</t>
    </r>
    <r>
      <rPr>
        <b/>
        <i/>
        <sz val="15"/>
        <rFont val="Calibri"/>
        <family val="2"/>
      </rPr>
      <t>ĐƠN ĐẶT HÀNG</t>
    </r>
  </si>
  <si>
    <r>
      <rPr>
        <b/>
        <sz val="12"/>
        <rFont val="Calibri"/>
        <family val="2"/>
      </rPr>
      <t>DPO No. *</t>
    </r>
    <r>
      <rPr>
        <sz val="12"/>
        <rFont val="Calibri"/>
        <family val="2"/>
      </rPr>
      <t xml:space="preserve">
</t>
    </r>
    <r>
      <rPr>
        <i/>
        <sz val="12"/>
        <rFont val="Calibri"/>
        <family val="2"/>
      </rPr>
      <t>Số DPO</t>
    </r>
  </si>
  <si>
    <r>
      <t xml:space="preserve">No
</t>
    </r>
    <r>
      <rPr>
        <b/>
        <i/>
        <sz val="12"/>
        <color indexed="8"/>
        <rFont val="Calibri"/>
        <family val="2"/>
      </rPr>
      <t>STT</t>
    </r>
  </si>
  <si>
    <r>
      <t xml:space="preserve">Material code*
</t>
    </r>
    <r>
      <rPr>
        <b/>
        <i/>
        <sz val="12"/>
        <color indexed="8"/>
        <rFont val="Calibri"/>
        <family val="2"/>
      </rPr>
      <t>Mã hàng</t>
    </r>
  </si>
  <si>
    <r>
      <t xml:space="preserve">Model*
</t>
    </r>
    <r>
      <rPr>
        <b/>
        <i/>
        <sz val="12"/>
        <color indexed="8"/>
        <rFont val="Calibri"/>
        <family val="2"/>
      </rPr>
      <t>Tên hàng hóa</t>
    </r>
  </si>
  <si>
    <r>
      <t xml:space="preserve">Spec 1
</t>
    </r>
    <r>
      <rPr>
        <b/>
        <i/>
        <sz val="12"/>
        <color indexed="8"/>
        <rFont val="Calibri"/>
        <family val="2"/>
      </rPr>
      <t>Tiêu chuẩn kỹ thuật 1</t>
    </r>
  </si>
  <si>
    <r>
      <t xml:space="preserve">Spec 2
</t>
    </r>
    <r>
      <rPr>
        <b/>
        <i/>
        <sz val="12"/>
        <color indexed="8"/>
        <rFont val="Calibri"/>
        <family val="2"/>
      </rPr>
      <t>Tiêu chuẩn kỹ thuật 2</t>
    </r>
  </si>
  <si>
    <r>
      <t xml:space="preserve">SP Code
</t>
    </r>
    <r>
      <rPr>
        <b/>
        <i/>
        <sz val="12"/>
        <rFont val="Calibri"/>
        <family val="2"/>
      </rPr>
      <t>Mã giá đặc biệt</t>
    </r>
  </si>
  <si>
    <r>
      <t xml:space="preserve">Qty (Piece)*
</t>
    </r>
    <r>
      <rPr>
        <b/>
        <i/>
        <sz val="12"/>
        <color indexed="8"/>
        <rFont val="Calibri"/>
        <family val="2"/>
      </rPr>
      <t>SL (Cái)</t>
    </r>
  </si>
  <si>
    <r>
      <t xml:space="preserve">Unit Price*
</t>
    </r>
    <r>
      <rPr>
        <b/>
        <i/>
        <sz val="12"/>
        <color indexed="8"/>
        <rFont val="Calibri"/>
        <family val="2"/>
      </rPr>
      <t>Đơn giá
(VND)</t>
    </r>
  </si>
  <si>
    <r>
      <t xml:space="preserve">Amount
</t>
    </r>
    <r>
      <rPr>
        <b/>
        <i/>
        <sz val="12"/>
        <color indexed="8"/>
        <rFont val="Calibri"/>
        <family val="2"/>
      </rPr>
      <t xml:space="preserve">Thành tiền
(VND) </t>
    </r>
  </si>
  <si>
    <r>
      <t xml:space="preserve">Requested ETA
</t>
    </r>
    <r>
      <rPr>
        <b/>
        <i/>
        <sz val="12"/>
        <color indexed="8"/>
        <rFont val="Calibri"/>
        <family val="2"/>
      </rPr>
      <t>Yêu cầu TGGH</t>
    </r>
  </si>
  <si>
    <r>
      <t xml:space="preserve">Customer Tax code (**)
</t>
    </r>
    <r>
      <rPr>
        <b/>
        <i/>
        <sz val="12"/>
        <color indexed="8"/>
        <rFont val="Calibri"/>
        <family val="2"/>
      </rPr>
      <t>MST khách hàng</t>
    </r>
  </si>
  <si>
    <r>
      <t xml:space="preserve">Remarks
</t>
    </r>
    <r>
      <rPr>
        <b/>
        <i/>
        <sz val="12"/>
        <color indexed="8"/>
        <rFont val="Calibri"/>
        <family val="2"/>
      </rPr>
      <t>Ghi chú</t>
    </r>
  </si>
  <si>
    <r>
      <t xml:space="preserve">Total:
</t>
    </r>
    <r>
      <rPr>
        <b/>
        <i/>
        <sz val="12"/>
        <rFont val="Calibri"/>
        <family val="2"/>
      </rPr>
      <t>Tổng cộng</t>
    </r>
    <r>
      <rPr>
        <b/>
        <sz val="12"/>
        <rFont val="Calibri"/>
        <family val="2"/>
      </rPr>
      <t>:</t>
    </r>
  </si>
  <si>
    <r>
      <rPr>
        <b/>
        <sz val="12"/>
        <rFont val="Calibri"/>
        <family val="2"/>
      </rPr>
      <t>DPO remarks</t>
    </r>
    <r>
      <rPr>
        <sz val="12"/>
        <rFont val="Calibri"/>
        <family val="2"/>
      </rPr>
      <t xml:space="preserve">
</t>
    </r>
    <r>
      <rPr>
        <i/>
        <sz val="12"/>
        <rFont val="Calibri"/>
        <family val="2"/>
      </rPr>
      <t>Ghi chú</t>
    </r>
  </si>
  <si>
    <t>Customer type
(**)</t>
  </si>
  <si>
    <r>
      <t xml:space="preserve">Customer name (**)
</t>
    </r>
    <r>
      <rPr>
        <b/>
        <i/>
        <sz val="12"/>
        <color indexed="8"/>
        <rFont val="Calibri"/>
        <family val="2"/>
      </rPr>
      <t>Tên khách hàng</t>
    </r>
  </si>
  <si>
    <t>Panel Builder</t>
  </si>
  <si>
    <t>M&amp;E contractor</t>
  </si>
  <si>
    <t>Main contractor</t>
  </si>
  <si>
    <t>SI/OEM</t>
  </si>
  <si>
    <t>Investor/ End-user</t>
  </si>
  <si>
    <t>Trading</t>
  </si>
  <si>
    <t>Distributor</t>
  </si>
  <si>
    <t>FAKE-CR-01</t>
  </si>
  <si>
    <t>CR-Y120</t>
  </si>
  <si>
    <t>xxxxxxx1</t>
  </si>
  <si>
    <t>Test Material code1</t>
  </si>
  <si>
    <t>CÔNG TY 3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</si>
</sst>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¥&quot;#,##0;[Red]&quot;¥&quot;\-#,##0"/>
    <numFmt numFmtId="167" formatCode="&quot;¥&quot;#,##0.00;[Red]&quot;¥&quot;\-#,##0.00"/>
    <numFmt numFmtId="168" formatCode="#,##0.0;[Red]\-#,##0.0"/>
    <numFmt numFmtId="169" formatCode="&quot;¥&quot;#,##0.00;[Red]&quot;¥&quot;&quot;¥&quot;&quot;¥&quot;\-#,##0.00"/>
    <numFmt numFmtId="170" formatCode="#,##0.0&quot;人月&quot;"/>
    <numFmt numFmtId="171" formatCode="0_ "/>
    <numFmt numFmtId="172" formatCode="#,##0;\-#,##0;&quot;-&quot;"/>
    <numFmt numFmtId="173" formatCode="###\ ###\ ###\ ###\ ##0"/>
    <numFmt numFmtId="174" formatCode="#,#00;[Red]\-#,#00;_@&quot;-&quot;"/>
    <numFmt numFmtId="175" formatCode="_ * #,##0_)\ _$_ ;_ * \(#,##0\)\ _$_ ;_ * &quot;-&quot;_)\ _$_ ;_ @_ "/>
    <numFmt numFmtId="176" formatCode="_ * #,##0_ ;_ * \-#,##0_ ;_ * &quot;-&quot;_ ;_ @_ "/>
    <numFmt numFmtId="177" formatCode="_ * #,##0.00_ ;_ * \-#,##0.00_ ;_ * &quot;-&quot;??_ ;_ @_ "/>
    <numFmt numFmtId="178" formatCode="_ &quot;kr&quot;\ * #,##0_ ;_ &quot;kr&quot;\ * \-#,##0_ ;_ &quot;kr&quot;\ * &quot;-&quot;_ ;_ @_ "/>
    <numFmt numFmtId="179" formatCode="_ &quot;kr&quot;\ * #,##0.00_ ;_ &quot;kr&quot;\ * \-#,##0.00_ ;_ &quot;kr&quot;\ * &quot;-&quot;??_ ;_ @_ "/>
  </numFmts>
  <fonts count="9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 MT"/>
      <family val="2"/>
    </font>
    <font>
      <sz val="12"/>
      <name val=".VnTime"/>
      <family val="2"/>
    </font>
    <font>
      <sz val="10"/>
      <name val="VNI-Times"/>
    </font>
    <font>
      <u/>
      <sz val="11"/>
      <color indexed="12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1"/>
    </font>
    <font>
      <sz val="8"/>
      <name val="Arial"/>
      <family val="2"/>
    </font>
    <font>
      <b/>
      <sz val="11"/>
      <name val="明朝"/>
      <family val="3"/>
      <charset val="128"/>
    </font>
    <font>
      <sz val="12"/>
      <name val="ＭＳ ゴシック"/>
      <family val="3"/>
      <charset val="128"/>
    </font>
    <font>
      <sz val="9"/>
      <name val="Times New Roman"/>
      <family val="1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sz val="13.5"/>
      <name val="System"/>
      <family val="2"/>
    </font>
    <font>
      <sz val="22"/>
      <name val="ＭＳ 明朝"/>
      <family val="1"/>
      <charset val="128"/>
    </font>
    <font>
      <sz val="11"/>
      <name val="ＭＳ Ｐゴシック"/>
      <family val="3"/>
    </font>
    <font>
      <sz val="14"/>
      <name val="ＭＳ 明朝"/>
      <family val="1"/>
      <charset val="128"/>
    </font>
    <font>
      <sz val="11"/>
      <name val="・団"/>
      <family val="1"/>
      <charset val="128"/>
    </font>
    <font>
      <sz val="11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ゴシック"/>
      <family val="3"/>
      <charset val="128"/>
    </font>
    <font>
      <sz val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2"/>
      <name val="Times New Roman"/>
      <family val="1"/>
    </font>
    <font>
      <sz val="12"/>
      <name val="新細明體"/>
      <family val="1"/>
      <charset val="136"/>
    </font>
    <font>
      <sz val="12"/>
      <name val="VNI-Times"/>
    </font>
    <font>
      <sz val="10"/>
      <name val=".VnArial"/>
      <family val="2"/>
    </font>
    <font>
      <sz val="11"/>
      <name val="VNbook-Antiqua"/>
      <family val="2"/>
    </font>
    <font>
      <sz val="10"/>
      <name val="VNbook-Antiqua"/>
      <family val="2"/>
    </font>
    <font>
      <sz val="10"/>
      <name val="Helv"/>
      <family val="2"/>
    </font>
    <font>
      <sz val="10"/>
      <name val="ＭＳ Ｐゴシック"/>
      <family val="3"/>
      <charset val="128"/>
    </font>
    <font>
      <sz val="10"/>
      <name val="Arial"/>
      <family val="2"/>
      <charset val="163"/>
    </font>
    <font>
      <sz val="11"/>
      <name val=".VnTime"/>
      <family val="2"/>
    </font>
    <font>
      <sz val="11"/>
      <name val="돋움"/>
      <family val="3"/>
      <charset val="129"/>
    </font>
    <font>
      <sz val="12"/>
      <name val="Calibri"/>
      <family val="2"/>
    </font>
    <font>
      <b/>
      <sz val="12"/>
      <name val="Calibri"/>
      <family val="2"/>
    </font>
    <font>
      <b/>
      <i/>
      <sz val="15"/>
      <name val="Calibri"/>
      <family val="2"/>
    </font>
    <font>
      <i/>
      <sz val="12"/>
      <name val="Calibri"/>
      <family val="2"/>
    </font>
    <font>
      <b/>
      <i/>
      <sz val="12"/>
      <name val="Calibri"/>
      <family val="2"/>
    </font>
    <font>
      <b/>
      <i/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Times New Roman"/>
      <family val="2"/>
    </font>
    <font>
      <sz val="9"/>
      <color theme="1"/>
      <name val="ＭＳ Ｐゴシック"/>
      <family val="3"/>
      <charset val="128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34"/>
      <scheme val="minor"/>
    </font>
    <font>
      <sz val="13"/>
      <color theme="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7"/>
      <color rgb="FF325168"/>
      <name val="Arial"/>
      <family val="2"/>
    </font>
    <font>
      <sz val="8"/>
      <name val="ＭＳ Ｐゴシック"/>
      <family val="3"/>
      <charset val="128"/>
    </font>
    <font>
      <sz val="8"/>
      <color rgb="FF495057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31"/>
        <bgColor indexed="64"/>
      </patternFill>
    </fill>
    <fill>
      <patternFill patternType="solid">
        <fgColor indexed="47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31"/>
      </patternFill>
    </fill>
    <fill>
      <patternFill patternType="solid">
        <fgColor indexed="27"/>
        <bgColor indexed="64"/>
      </patternFill>
    </fill>
    <fill>
      <patternFill patternType="solid">
        <fgColor indexed="42"/>
      </patternFill>
    </fill>
    <fill>
      <patternFill patternType="solid">
        <fgColor indexed="47"/>
        <bgColor indexed="64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</patternFill>
    </fill>
    <fill>
      <patternFill patternType="solid">
        <fgColor indexed="11"/>
        <bgColor indexed="64"/>
      </patternFill>
    </fill>
    <fill>
      <patternFill patternType="solid">
        <fgColor indexed="43"/>
      </patternFill>
    </fill>
    <fill>
      <patternFill patternType="solid">
        <fgColor indexed="51"/>
        <bgColor indexed="6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7"/>
      </patternFill>
    </fill>
    <fill>
      <patternFill patternType="solid">
        <fgColor indexed="52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  <bgColor indexed="64"/>
      </patternFill>
    </fill>
    <fill>
      <patternFill patternType="solid">
        <fgColor indexed="53"/>
      </patternFill>
    </fill>
    <fill>
      <patternFill patternType="solid">
        <fgColor indexed="10"/>
        <bgColor indexed="64"/>
      </patternFill>
    </fill>
    <fill>
      <patternFill patternType="solid">
        <fgColor indexed="55"/>
      </patternFill>
    </fill>
    <fill>
      <patternFill patternType="solid">
        <fgColor indexed="57"/>
        <bgColor indexed="64"/>
      </patternFill>
    </fill>
    <fill>
      <patternFill patternType="solid">
        <fgColor indexed="62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98">
    <xf numFmtId="0" fontId="0" fillId="0" borderId="0">
      <alignment vertical="center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73" fontId="64" fillId="0" borderId="0" applyFont="0" applyFill="0" applyBorder="0" applyAlignment="0" applyProtection="0">
      <protection locked="0"/>
    </xf>
    <xf numFmtId="0" fontId="4" fillId="0" borderId="0"/>
    <xf numFmtId="0" fontId="4" fillId="0" borderId="0"/>
    <xf numFmtId="174" fontId="64" fillId="0" borderId="0" applyFont="0" applyFill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42" fillId="9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2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8" borderId="0" applyNumberFormat="0" applyBorder="0" applyAlignment="0" applyProtection="0"/>
    <xf numFmtId="0" fontId="3" fillId="16" borderId="0" applyNumberFormat="0" applyBorder="0" applyAlignment="0" applyProtection="0"/>
    <xf numFmtId="0" fontId="3" fillId="21" borderId="0" applyNumberFormat="0" applyBorder="0" applyAlignment="0" applyProtection="0"/>
    <xf numFmtId="0" fontId="42" fillId="15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30" borderId="0" applyNumberFormat="0" applyBorder="0" applyAlignment="0" applyProtection="0"/>
    <xf numFmtId="0" fontId="46" fillId="3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/>
    <xf numFmtId="0" fontId="9" fillId="36" borderId="0" applyNumberFormat="0" applyBorder="0" applyAlignment="0" applyProtection="0"/>
    <xf numFmtId="0" fontId="9" fillId="38" borderId="0" applyNumberFormat="0" applyBorder="0" applyAlignment="0" applyProtection="0"/>
    <xf numFmtId="0" fontId="9" fillId="26" borderId="0" applyNumberFormat="0" applyBorder="0" applyAlignment="0" applyProtection="0"/>
    <xf numFmtId="0" fontId="9" fillId="28" borderId="0" applyNumberFormat="0" applyBorder="0" applyAlignment="0" applyProtection="0"/>
    <xf numFmtId="0" fontId="9" fillId="40" borderId="0" applyNumberFormat="0" applyBorder="0" applyAlignment="0" applyProtection="0"/>
    <xf numFmtId="0" fontId="10" fillId="5" borderId="0" applyNumberFormat="0" applyBorder="0" applyAlignment="0" applyProtection="0"/>
    <xf numFmtId="168" fontId="1" fillId="0" borderId="0" applyFill="0" applyBorder="0" applyAlignment="0"/>
    <xf numFmtId="168" fontId="1" fillId="0" borderId="0" applyFill="0" applyBorder="0" applyAlignment="0"/>
    <xf numFmtId="172" fontId="2" fillId="0" borderId="0" applyFill="0" applyBorder="0" applyAlignment="0"/>
    <xf numFmtId="0" fontId="72" fillId="0" borderId="0" applyFill="0" applyBorder="0" applyAlignment="0"/>
    <xf numFmtId="0" fontId="11" fillId="41" borderId="1" applyNumberFormat="0" applyAlignment="0" applyProtection="0"/>
    <xf numFmtId="0" fontId="12" fillId="42" borderId="2" applyNumberFormat="0" applyAlignment="0" applyProtection="0"/>
    <xf numFmtId="49" fontId="4" fillId="0" borderId="3">
      <alignment horizontal="center" vertical="center"/>
    </xf>
    <xf numFmtId="43" fontId="1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38" fontId="80" fillId="0" borderId="0" applyFon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81" fillId="0" borderId="0" applyFont="0" applyFill="0" applyBorder="0" applyAlignment="0" applyProtection="0"/>
    <xf numFmtId="165" fontId="79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3" fontId="4" fillId="0" borderId="0" applyFont="0" applyFill="0" applyBorder="0" applyAlignment="0" applyProtection="0"/>
    <xf numFmtId="0" fontId="27" fillId="0" borderId="0" applyNumberFormat="0" applyFont="0" applyBorder="0" applyAlignment="0" applyProtection="0"/>
    <xf numFmtId="166" fontId="1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/>
    <xf numFmtId="166" fontId="82" fillId="0" borderId="0" applyFont="0" applyFill="0" applyBorder="0" applyAlignment="0" applyProtection="0">
      <alignment vertical="center"/>
    </xf>
    <xf numFmtId="175" fontId="65" fillId="0" borderId="0" applyFont="0" applyFill="0" applyBorder="0" applyAlignment="0" applyProtection="0"/>
    <xf numFmtId="0" fontId="4" fillId="0" borderId="0" applyFont="0" applyFill="0" applyBorder="0" applyAlignment="0" applyProtection="0"/>
    <xf numFmtId="14" fontId="64" fillId="0" borderId="0" applyFont="0" applyFill="0" applyBorder="0" applyAlignment="0" applyProtection="0"/>
    <xf numFmtId="0" fontId="28" fillId="0" borderId="0">
      <alignment horizontal="left"/>
    </xf>
    <xf numFmtId="0" fontId="13" fillId="0" borderId="0" applyNumberFormat="0" applyFill="0" applyBorder="0" applyAlignment="0" applyProtection="0"/>
    <xf numFmtId="2" fontId="4" fillId="0" borderId="0" applyFont="0" applyFill="0" applyBorder="0" applyAlignment="0" applyProtection="0"/>
    <xf numFmtId="0" fontId="14" fillId="6" borderId="0" applyNumberFormat="0" applyBorder="0" applyAlignment="0" applyProtection="0"/>
    <xf numFmtId="38" fontId="25" fillId="41" borderId="0" applyNumberFormat="0" applyBorder="0" applyAlignment="0" applyProtection="0"/>
    <xf numFmtId="0" fontId="29" fillId="0" borderId="4" applyNumberFormat="0" applyAlignment="0" applyProtection="0">
      <alignment horizontal="left" vertical="center"/>
    </xf>
    <xf numFmtId="0" fontId="29" fillId="0" borderId="5">
      <alignment horizontal="left" vertical="center"/>
    </xf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/>
    <xf numFmtId="0" fontId="30" fillId="0" borderId="0" applyBorder="0"/>
    <xf numFmtId="10" fontId="25" fillId="43" borderId="9" applyNumberFormat="0" applyBorder="0" applyAlignment="0" applyProtection="0"/>
    <xf numFmtId="0" fontId="18" fillId="12" borderId="1" applyNumberFormat="0" applyAlignment="0" applyProtection="0"/>
    <xf numFmtId="0" fontId="30" fillId="0" borderId="0"/>
    <xf numFmtId="0" fontId="31" fillId="0" borderId="0"/>
    <xf numFmtId="0" fontId="31" fillId="0" borderId="0"/>
    <xf numFmtId="0" fontId="4" fillId="0" borderId="0"/>
    <xf numFmtId="0" fontId="71" fillId="0" borderId="0"/>
    <xf numFmtId="0" fontId="4" fillId="0" borderId="0"/>
    <xf numFmtId="0" fontId="19" fillId="0" borderId="10" applyNumberFormat="0" applyFill="0" applyAlignment="0" applyProtection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6" fontId="32" fillId="0" borderId="0" applyFont="0" applyFill="0" applyBorder="0" applyAlignment="0" applyProtection="0"/>
    <xf numFmtId="8" fontId="32" fillId="0" borderId="0" applyFont="0" applyFill="0" applyBorder="0" applyAlignment="0" applyProtection="0"/>
    <xf numFmtId="0" fontId="20" fillId="44" borderId="0" applyNumberFormat="0" applyBorder="0" applyAlignment="0" applyProtection="0"/>
    <xf numFmtId="169" fontId="1" fillId="0" borderId="0"/>
    <xf numFmtId="169" fontId="1" fillId="0" borderId="0"/>
    <xf numFmtId="0" fontId="79" fillId="0" borderId="0"/>
    <xf numFmtId="0" fontId="79" fillId="0" borderId="0"/>
    <xf numFmtId="0" fontId="84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0" fillId="0" borderId="0">
      <alignment vertical="center"/>
    </xf>
    <xf numFmtId="0" fontId="79" fillId="0" borderId="0"/>
    <xf numFmtId="0" fontId="79" fillId="0" borderId="0"/>
    <xf numFmtId="0" fontId="79" fillId="0" borderId="0"/>
    <xf numFmtId="0" fontId="2" fillId="0" borderId="0">
      <alignment vertical="top"/>
    </xf>
    <xf numFmtId="0" fontId="2" fillId="0" borderId="0">
      <alignment vertical="top"/>
    </xf>
    <xf numFmtId="0" fontId="4" fillId="0" borderId="0" applyNumberFormat="0" applyFill="0" applyBorder="0" applyAlignment="0" applyProtection="0"/>
    <xf numFmtId="0" fontId="4" fillId="0" borderId="0"/>
    <xf numFmtId="0" fontId="85" fillId="0" borderId="0">
      <alignment vertical="center"/>
    </xf>
    <xf numFmtId="0" fontId="6" fillId="0" borderId="0"/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86" fillId="0" borderId="0"/>
    <xf numFmtId="0" fontId="87" fillId="0" borderId="0">
      <alignment vertical="center"/>
    </xf>
    <xf numFmtId="0" fontId="79" fillId="0" borderId="0"/>
    <xf numFmtId="0" fontId="79" fillId="0" borderId="0"/>
    <xf numFmtId="0" fontId="2" fillId="0" borderId="0">
      <alignment vertical="top"/>
    </xf>
    <xf numFmtId="0" fontId="2" fillId="0" borderId="0">
      <alignment vertical="top"/>
    </xf>
    <xf numFmtId="0" fontId="79" fillId="0" borderId="0"/>
    <xf numFmtId="0" fontId="4" fillId="0" borderId="0"/>
    <xf numFmtId="0" fontId="4" fillId="0" borderId="0"/>
    <xf numFmtId="0" fontId="79" fillId="0" borderId="0"/>
    <xf numFmtId="0" fontId="4" fillId="0" borderId="0" applyNumberFormat="0"/>
    <xf numFmtId="0" fontId="72" fillId="0" borderId="0">
      <alignment vertical="center"/>
    </xf>
    <xf numFmtId="0" fontId="79" fillId="0" borderId="0"/>
    <xf numFmtId="0" fontId="85" fillId="0" borderId="0">
      <alignment vertical="center"/>
    </xf>
    <xf numFmtId="0" fontId="4" fillId="0" borderId="0"/>
    <xf numFmtId="0" fontId="82" fillId="0" borderId="0">
      <alignment vertical="center"/>
    </xf>
    <xf numFmtId="0" fontId="79" fillId="0" borderId="0"/>
    <xf numFmtId="0" fontId="3" fillId="0" borderId="0" applyProtection="0">
      <alignment vertical="center"/>
    </xf>
    <xf numFmtId="0" fontId="79" fillId="0" borderId="0"/>
    <xf numFmtId="0" fontId="2" fillId="0" borderId="0"/>
    <xf numFmtId="0" fontId="4" fillId="0" borderId="0"/>
    <xf numFmtId="0" fontId="4" fillId="0" borderId="0"/>
    <xf numFmtId="0" fontId="85" fillId="0" borderId="0">
      <alignment vertical="center"/>
    </xf>
    <xf numFmtId="0" fontId="3" fillId="0" borderId="0"/>
    <xf numFmtId="0" fontId="3" fillId="0" borderId="0"/>
    <xf numFmtId="0" fontId="79" fillId="0" borderId="0"/>
    <xf numFmtId="0" fontId="79" fillId="0" borderId="0"/>
    <xf numFmtId="0" fontId="88" fillId="0" borderId="0"/>
    <xf numFmtId="0" fontId="79" fillId="0" borderId="0"/>
    <xf numFmtId="0" fontId="79" fillId="0" borderId="0"/>
    <xf numFmtId="0" fontId="66" fillId="0" borderId="0"/>
    <xf numFmtId="0" fontId="3" fillId="0" borderId="0"/>
    <xf numFmtId="0" fontId="80" fillId="0" borderId="0">
      <alignment vertical="center"/>
    </xf>
    <xf numFmtId="0" fontId="70" fillId="0" borderId="0"/>
    <xf numFmtId="0" fontId="66" fillId="0" borderId="0"/>
    <xf numFmtId="0" fontId="79" fillId="0" borderId="0"/>
    <xf numFmtId="0" fontId="79" fillId="0" borderId="0"/>
    <xf numFmtId="0" fontId="80" fillId="0" borderId="0">
      <alignment vertical="center"/>
    </xf>
    <xf numFmtId="0" fontId="66" fillId="0" borderId="0"/>
    <xf numFmtId="0" fontId="79" fillId="0" borderId="0"/>
    <xf numFmtId="0" fontId="79" fillId="0" borderId="0"/>
    <xf numFmtId="0" fontId="66" fillId="0" borderId="0"/>
    <xf numFmtId="0" fontId="79" fillId="0" borderId="0"/>
    <xf numFmtId="0" fontId="79" fillId="0" borderId="0"/>
    <xf numFmtId="0" fontId="85" fillId="0" borderId="0">
      <alignment vertical="center"/>
    </xf>
    <xf numFmtId="0" fontId="66" fillId="0" borderId="0"/>
    <xf numFmtId="173" fontId="64" fillId="0" borderId="0">
      <protection locked="0"/>
    </xf>
    <xf numFmtId="0" fontId="3" fillId="43" borderId="11" applyNumberFormat="0" applyFont="0" applyAlignment="0" applyProtection="0"/>
    <xf numFmtId="0" fontId="21" fillId="41" borderId="12" applyNumberFormat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8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80" fillId="0" borderId="0" applyFont="0" applyFill="0" applyBorder="0" applyAlignment="0" applyProtection="0">
      <alignment vertical="center"/>
    </xf>
    <xf numFmtId="9" fontId="80" fillId="0" borderId="0" applyFont="0" applyFill="0" applyBorder="0" applyAlignment="0" applyProtection="0">
      <alignment vertical="center"/>
    </xf>
    <xf numFmtId="9" fontId="80" fillId="0" borderId="0" applyFont="0" applyFill="0" applyBorder="0" applyAlignment="0" applyProtection="0">
      <alignment vertical="center"/>
    </xf>
    <xf numFmtId="4" fontId="28" fillId="0" borderId="0">
      <alignment horizontal="right"/>
    </xf>
    <xf numFmtId="9" fontId="4" fillId="0" borderId="0" applyFont="0" applyFill="0" applyBorder="0" applyAlignment="0" applyProtection="0"/>
    <xf numFmtId="0" fontId="32" fillId="0" borderId="0" applyNumberFormat="0" applyFont="0" applyFill="0" applyBorder="0" applyAlignment="0" applyProtection="0">
      <alignment horizontal="left"/>
    </xf>
    <xf numFmtId="0" fontId="33" fillId="0" borderId="13">
      <alignment horizontal="center"/>
    </xf>
    <xf numFmtId="3" fontId="32" fillId="0" borderId="0" applyFont="0" applyFill="0" applyBorder="0" applyAlignment="0" applyProtection="0"/>
    <xf numFmtId="4" fontId="34" fillId="0" borderId="0">
      <alignment horizontal="right"/>
    </xf>
    <xf numFmtId="0" fontId="35" fillId="0" borderId="0">
      <alignment horizontal="left"/>
    </xf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0" fontId="4" fillId="0" borderId="0"/>
    <xf numFmtId="14" fontId="67" fillId="0" borderId="0"/>
    <xf numFmtId="0" fontId="36" fillId="0" borderId="0"/>
    <xf numFmtId="0" fontId="24" fillId="0" borderId="0" applyNumberFormat="0" applyFill="0" applyBorder="0" applyAlignment="0" applyProtection="0"/>
    <xf numFmtId="0" fontId="22" fillId="0" borderId="14" applyNumberFormat="0" applyFill="0" applyAlignment="0" applyProtection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46" fillId="39" borderId="0" applyNumberFormat="0" applyBorder="0" applyAlignment="0" applyProtection="0">
      <alignment vertical="center"/>
    </xf>
    <xf numFmtId="0" fontId="46" fillId="45" borderId="0" applyNumberFormat="0" applyBorder="0" applyAlignment="0" applyProtection="0"/>
    <xf numFmtId="0" fontId="46" fillId="29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37" fillId="0" borderId="0"/>
    <xf numFmtId="0" fontId="38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37" borderId="2" applyNumberFormat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7" borderId="11" applyNumberFormat="0" applyFont="0" applyAlignment="0" applyProtection="0">
      <alignment vertical="center"/>
    </xf>
    <xf numFmtId="0" fontId="50" fillId="0" borderId="10" applyNumberFormat="0" applyFill="0" applyAlignment="0" applyProtection="0">
      <alignment vertical="center"/>
    </xf>
    <xf numFmtId="0" fontId="5" fillId="0" borderId="0"/>
    <xf numFmtId="0" fontId="63" fillId="0" borderId="0"/>
    <xf numFmtId="0" fontId="62" fillId="0" borderId="0"/>
    <xf numFmtId="0" fontId="1" fillId="0" borderId="15"/>
    <xf numFmtId="170" fontId="31" fillId="0" borderId="0"/>
    <xf numFmtId="170" fontId="31" fillId="0" borderId="0"/>
    <xf numFmtId="0" fontId="60" fillId="4" borderId="1" applyNumberFormat="0" applyAlignment="0" applyProtection="0">
      <alignment vertical="center"/>
    </xf>
    <xf numFmtId="0" fontId="58" fillId="18" borderId="12" applyNumberFormat="0" applyAlignment="0" applyProtection="0">
      <alignment vertical="center"/>
    </xf>
    <xf numFmtId="0" fontId="63" fillId="0" borderId="0" applyFont="0" applyFill="0" applyBorder="0" applyAlignment="0" applyProtection="0"/>
    <xf numFmtId="165" fontId="63" fillId="0" borderId="0" applyFont="0" applyFill="0" applyBorder="0" applyAlignment="0" applyProtection="0">
      <alignment vertical="center"/>
    </xf>
    <xf numFmtId="0" fontId="39" fillId="0" borderId="0"/>
    <xf numFmtId="0" fontId="51" fillId="13" borderId="0" applyNumberFormat="0" applyBorder="0" applyAlignment="0" applyProtection="0">
      <alignment vertical="center"/>
    </xf>
    <xf numFmtId="1" fontId="40" fillId="0" borderId="0"/>
    <xf numFmtId="165" fontId="8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79" fillId="0" borderId="0" applyFont="0" applyFill="0" applyBorder="0" applyAlignment="0" applyProtection="0"/>
    <xf numFmtId="38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85" fillId="0" borderId="0"/>
    <xf numFmtId="0" fontId="1" fillId="0" borderId="0"/>
    <xf numFmtId="0" fontId="4" fillId="0" borderId="0"/>
    <xf numFmtId="0" fontId="45" fillId="0" borderId="0">
      <alignment vertical="center"/>
    </xf>
    <xf numFmtId="0" fontId="42" fillId="0" borderId="0">
      <alignment vertical="center"/>
    </xf>
    <xf numFmtId="0" fontId="69" fillId="0" borderId="0"/>
    <xf numFmtId="0" fontId="79" fillId="0" borderId="0"/>
    <xf numFmtId="0" fontId="42" fillId="0" borderId="0">
      <alignment vertical="center"/>
    </xf>
    <xf numFmtId="0" fontId="1" fillId="0" borderId="0"/>
    <xf numFmtId="0" fontId="82" fillId="0" borderId="0">
      <alignment vertical="center"/>
    </xf>
    <xf numFmtId="0" fontId="1" fillId="0" borderId="0">
      <alignment vertical="center"/>
    </xf>
    <xf numFmtId="0" fontId="1" fillId="0" borderId="0"/>
    <xf numFmtId="0" fontId="85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45" fillId="0" borderId="0" applyAlignment="0">
      <alignment vertical="top" wrapText="1"/>
      <protection locked="0"/>
    </xf>
    <xf numFmtId="0" fontId="68" fillId="0" borderId="0"/>
    <xf numFmtId="9" fontId="63" fillId="0" borderId="0" applyFont="0" applyFill="0" applyBorder="0" applyAlignment="0" applyProtection="0"/>
    <xf numFmtId="171" fontId="43" fillId="0" borderId="16" applyNumberFormat="0" applyFont="0" applyAlignment="0" applyProtection="0"/>
    <xf numFmtId="167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0" fontId="61" fillId="11" borderId="0" applyNumberFormat="0" applyBorder="0" applyAlignment="0" applyProtection="0">
      <alignment vertical="center"/>
    </xf>
    <xf numFmtId="0" fontId="54" fillId="0" borderId="6" applyNumberFormat="0" applyFill="0" applyAlignment="0" applyProtection="0">
      <alignment vertical="center"/>
    </xf>
    <xf numFmtId="0" fontId="55" fillId="0" borderId="7" applyNumberFormat="0" applyFill="0" applyAlignment="0" applyProtection="0">
      <alignment vertical="center"/>
    </xf>
    <xf numFmtId="0" fontId="56" fillId="0" borderId="8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2" fillId="18" borderId="1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7" fillId="0" borderId="14" applyNumberFormat="0" applyFill="0" applyAlignment="0" applyProtection="0">
      <alignment vertical="center"/>
    </xf>
  </cellStyleXfs>
  <cellXfs count="37">
    <xf numFmtId="0" fontId="0" fillId="0" borderId="0" xfId="0">
      <alignment vertical="center"/>
    </xf>
    <xf numFmtId="0" fontId="89" fillId="0" borderId="0" xfId="0" applyFont="1" applyAlignment="1">
      <alignment vertical="center" wrapText="1"/>
    </xf>
    <xf numFmtId="0" fontId="89" fillId="0" borderId="0" xfId="0" applyFont="1">
      <alignment vertical="center"/>
    </xf>
    <xf numFmtId="0" fontId="89" fillId="0" borderId="17" xfId="0" applyFont="1" applyBorder="1">
      <alignment vertical="center"/>
    </xf>
    <xf numFmtId="0" fontId="89" fillId="0" borderId="18" xfId="0" applyFont="1" applyBorder="1">
      <alignment vertical="center"/>
    </xf>
    <xf numFmtId="0" fontId="89" fillId="0" borderId="19" xfId="0" applyFont="1" applyBorder="1">
      <alignment vertical="center"/>
    </xf>
    <xf numFmtId="0" fontId="89" fillId="0" borderId="20" xfId="0" applyFont="1" applyBorder="1">
      <alignment vertical="center"/>
    </xf>
    <xf numFmtId="0" fontId="89" fillId="0" borderId="20" xfId="0" applyFont="1" applyBorder="1" applyAlignment="1">
      <alignment vertical="center" wrapText="1"/>
    </xf>
    <xf numFmtId="0" fontId="89" fillId="0" borderId="0" xfId="0" applyFont="1" applyAlignment="1">
      <alignment horizontal="center" vertical="center"/>
    </xf>
    <xf numFmtId="0" fontId="89" fillId="46" borderId="21" xfId="267" applyFont="1" applyFill="1" applyBorder="1" applyAlignment="1">
      <alignment vertical="center"/>
    </xf>
    <xf numFmtId="0" fontId="89" fillId="0" borderId="22" xfId="0" applyFont="1" applyBorder="1">
      <alignment vertical="center"/>
    </xf>
    <xf numFmtId="0" fontId="91" fillId="47" borderId="9" xfId="267" applyFont="1" applyFill="1" applyBorder="1" applyAlignment="1">
      <alignment horizontal="center" vertical="center" wrapText="1"/>
    </xf>
    <xf numFmtId="0" fontId="90" fillId="47" borderId="9" xfId="267" applyFont="1" applyFill="1" applyBorder="1" applyAlignment="1">
      <alignment horizontal="center" vertical="center" wrapText="1"/>
    </xf>
    <xf numFmtId="0" fontId="89" fillId="0" borderId="9" xfId="267" applyFont="1" applyBorder="1" applyAlignment="1">
      <alignment horizontal="center" vertical="center"/>
    </xf>
    <xf numFmtId="43" fontId="91" fillId="0" borderId="0" xfId="57" applyFont="1" applyBorder="1" applyAlignment="1">
      <alignment horizontal="right" vertical="center"/>
    </xf>
    <xf numFmtId="0" fontId="89" fillId="0" borderId="0" xfId="267" applyFont="1" applyAlignment="1">
      <alignment horizontal="center" vertical="center"/>
    </xf>
    <xf numFmtId="0" fontId="93" fillId="0" borderId="0" xfId="267" applyFont="1"/>
    <xf numFmtId="0" fontId="89" fillId="48" borderId="9" xfId="267" applyFont="1" applyFill="1" applyBorder="1" applyAlignment="1">
      <alignment horizontal="center" vertical="center"/>
    </xf>
    <xf numFmtId="0" fontId="89" fillId="48" borderId="9" xfId="267" applyFont="1" applyFill="1" applyBorder="1" applyAlignment="1">
      <alignment vertical="center"/>
    </xf>
    <xf numFmtId="0" fontId="92" fillId="48" borderId="9" xfId="267" applyFont="1" applyFill="1" applyBorder="1" applyAlignment="1">
      <alignment horizontal="center" vertical="center"/>
    </xf>
    <xf numFmtId="3" fontId="89" fillId="48" borderId="9" xfId="57" applyNumberFormat="1" applyFont="1" applyFill="1" applyBorder="1" applyAlignment="1">
      <alignment vertical="center"/>
    </xf>
    <xf numFmtId="37" fontId="89" fillId="48" borderId="9" xfId="267" applyNumberFormat="1" applyFont="1" applyFill="1" applyBorder="1" applyAlignment="1">
      <alignment vertical="center"/>
    </xf>
    <xf numFmtId="0" fontId="93" fillId="48" borderId="9" xfId="267" applyFont="1" applyFill="1" applyBorder="1"/>
    <xf numFmtId="0" fontId="95" fillId="0" borderId="0" xfId="0" applyFont="1">
      <alignment vertical="center"/>
    </xf>
    <xf numFmtId="0" fontId="90" fillId="0" borderId="9" xfId="267" applyFont="1" applyBorder="1" applyAlignment="1">
      <alignment horizontal="left" vertical="center" wrapText="1"/>
    </xf>
    <xf numFmtId="37" fontId="90" fillId="0" borderId="9" xfId="267" applyNumberFormat="1" applyFont="1" applyBorder="1" applyAlignment="1">
      <alignment horizontal="right" vertical="center"/>
    </xf>
    <xf numFmtId="0" fontId="89" fillId="0" borderId="23" xfId="0" applyFont="1" applyBorder="1" applyAlignment="1">
      <alignment horizontal="left" vertical="center" wrapText="1"/>
    </xf>
    <xf numFmtId="0" fontId="94" fillId="0" borderId="0" xfId="0" applyFont="1" applyAlignment="1">
      <alignment horizontal="left" vertical="center" wrapText="1"/>
    </xf>
    <xf numFmtId="0" fontId="89" fillId="0" borderId="24" xfId="0" applyFont="1" applyBorder="1" applyAlignment="1">
      <alignment horizontal="left" vertical="center" wrapText="1"/>
    </xf>
    <xf numFmtId="0" fontId="89" fillId="0" borderId="25" xfId="0" applyFont="1" applyBorder="1" applyAlignment="1">
      <alignment horizontal="left" vertical="center" wrapText="1"/>
    </xf>
    <xf numFmtId="0" fontId="89" fillId="0" borderId="26" xfId="0" applyFont="1" applyBorder="1" applyAlignment="1">
      <alignment horizontal="left" vertical="center" wrapText="1"/>
    </xf>
    <xf numFmtId="0" fontId="89" fillId="0" borderId="27" xfId="0" applyFont="1" applyBorder="1" applyAlignment="1">
      <alignment horizontal="left" vertical="center" wrapText="1"/>
    </xf>
    <xf numFmtId="0" fontId="90" fillId="46" borderId="25" xfId="0" applyFont="1" applyFill="1" applyBorder="1" applyAlignment="1">
      <alignment horizontal="left" vertical="center" wrapText="1"/>
    </xf>
    <xf numFmtId="0" fontId="90" fillId="46" borderId="28" xfId="0" applyFont="1" applyFill="1" applyBorder="1" applyAlignment="1">
      <alignment horizontal="left" vertical="center" wrapText="1"/>
    </xf>
    <xf numFmtId="0" fontId="89" fillId="46" borderId="27" xfId="0" applyFont="1" applyFill="1" applyBorder="1" applyAlignment="1">
      <alignment horizontal="left" vertical="center"/>
    </xf>
    <xf numFmtId="0" fontId="89" fillId="46" borderId="29" xfId="0" applyFont="1" applyFill="1" applyBorder="1" applyAlignment="1">
      <alignment horizontal="left" vertical="center"/>
    </xf>
    <xf numFmtId="0" fontId="97" fillId="0" borderId="0" xfId="0" applyFont="1">
      <alignment vertical="center"/>
    </xf>
  </cellXfs>
  <cellStyles count="298">
    <cellStyle name="_x0001_" xfId="1" xr:uid="{6C31317E-3EB1-476E-8EF0-E1725B5E6F1C}"/>
    <cellStyle name="_x0001_ 2" xfId="2" xr:uid="{63851505-7173-4AE8-BFD4-70D65021B7C5}"/>
    <cellStyle name="# ##0" xfId="3" xr:uid="{59FF0759-B9C1-40CA-BBD9-56D332580DC3}"/>
    <cellStyle name="??_kc-elec system check list" xfId="4" xr:uid="{94DB5F43-E398-4BC6-8796-3976A616A4BC}"/>
    <cellStyle name="0,0_x000d__x000a_NA_x000d__x000a_" xfId="5" xr:uid="{BC906AEC-EA4B-4B1E-926D-08C96A7F5081}"/>
    <cellStyle name="00" xfId="6" xr:uid="{D5D10E03-0EB7-49DB-B299-75272D1A68E5}"/>
    <cellStyle name="20% - Accent1 2" xfId="7" xr:uid="{AD537A8B-04EA-4219-83EA-5C129102DA0C}"/>
    <cellStyle name="20% - Accent2 2" xfId="8" xr:uid="{5C829714-F353-4E8F-93EE-85D89AED3277}"/>
    <cellStyle name="20% - Accent3 2" xfId="9" xr:uid="{7E5A314D-678F-4883-A22C-3C8C0CA30890}"/>
    <cellStyle name="20% - Accent4 2" xfId="10" xr:uid="{BC892BF4-B6ED-4276-84E9-0BE1FF0D6A15}"/>
    <cellStyle name="20% - Accent5 2" xfId="11" xr:uid="{FC98AC3D-28A5-45B2-8699-157E30A12D8C}"/>
    <cellStyle name="20% - Accent6 2" xfId="12" xr:uid="{A3B1A404-DC54-40BB-901B-57BC472C822B}"/>
    <cellStyle name="20% - アクセント 1 2" xfId="13" xr:uid="{443998D5-CDA6-4E31-9760-233D5E7B7DE8}"/>
    <cellStyle name="20% - アクセント 2 2" xfId="14" xr:uid="{4FCDE974-329C-49DD-9580-CEE22C36F9F0}"/>
    <cellStyle name="20% - アクセント 3 2" xfId="15" xr:uid="{82B42ADA-28F7-4BA4-9C97-9C40152DB3FE}"/>
    <cellStyle name="20% - アクセント 4 2" xfId="16" xr:uid="{6D4ACB88-CA3A-4DE3-9600-A3A8B60E55F9}"/>
    <cellStyle name="20% - アクセント 5 2" xfId="17" xr:uid="{36022774-B083-459B-986C-B49611BF9B1D}"/>
    <cellStyle name="20% - アクセント 6 2" xfId="18" xr:uid="{360EE3CB-EC85-4FDE-B7E7-12B126D32ACB}"/>
    <cellStyle name="40% - Accent1 2" xfId="19" xr:uid="{E1E4A833-23F5-4CD6-90B4-5E2B572CA2A4}"/>
    <cellStyle name="40% - Accent2 2" xfId="20" xr:uid="{7B8D8EDE-5C16-4C41-B92F-2355CD81A046}"/>
    <cellStyle name="40% - Accent3 2" xfId="21" xr:uid="{B7830E66-1138-4125-A2A5-C7932854CFAE}"/>
    <cellStyle name="40% - Accent4 2" xfId="22" xr:uid="{190AB367-6929-4317-A234-C1167B282D1E}"/>
    <cellStyle name="40% - Accent5 2" xfId="23" xr:uid="{0178DB17-85C2-4BD5-A213-ACB3311F52B8}"/>
    <cellStyle name="40% - Accent6 2" xfId="24" xr:uid="{8AB45FB1-5444-43E3-9E7F-F78776754D51}"/>
    <cellStyle name="40% - アクセント 1 2" xfId="25" xr:uid="{D537A732-E75F-4FA9-AD6E-5ACA3B206917}"/>
    <cellStyle name="40% - アクセント 2 2" xfId="26" xr:uid="{94C91454-26BC-46FC-A55F-FA58D193FC38}"/>
    <cellStyle name="40% - アクセント 3 2" xfId="27" xr:uid="{DCD05371-E55F-4F8F-AC91-751AFA7D28E2}"/>
    <cellStyle name="40% - アクセント 4 2" xfId="28" xr:uid="{6F4387B7-E3FD-4FC7-A254-613945455C20}"/>
    <cellStyle name="40% - アクセント 5 2" xfId="29" xr:uid="{5F17C050-B6E3-4AAA-9D12-315A002F5D8A}"/>
    <cellStyle name="40% - アクセント 6 2" xfId="30" xr:uid="{CA51CB8F-5ED5-4D86-A6D4-0ADD1D910EEA}"/>
    <cellStyle name="60% - Accent1 2" xfId="31" xr:uid="{0EF56EAA-D494-4AA3-B305-41E780E3B322}"/>
    <cellStyle name="60% - Accent2 2" xfId="32" xr:uid="{12797AEB-4F1F-429A-B55B-530910679A3C}"/>
    <cellStyle name="60% - Accent3 2" xfId="33" xr:uid="{DA2707B8-7B9C-404C-B411-5255891C403D}"/>
    <cellStyle name="60% - Accent4 2" xfId="34" xr:uid="{BD3D0917-019C-49DA-8B2F-23BFC89E40FB}"/>
    <cellStyle name="60% - Accent5 2" xfId="35" xr:uid="{2632E576-ED6D-4758-A21E-3C3435D6E63A}"/>
    <cellStyle name="60% - Accent6 2" xfId="36" xr:uid="{5299179B-2436-4B0B-B453-49209CE73B52}"/>
    <cellStyle name="60% - アクセント 1 2" xfId="37" xr:uid="{61BA0551-FA1B-4A67-B873-041807A1502A}"/>
    <cellStyle name="60% - アクセント 2 2" xfId="38" xr:uid="{ACD76F03-0894-470C-976F-46C802B955B3}"/>
    <cellStyle name="60% - アクセント 3 2" xfId="39" xr:uid="{F9494D30-71AE-4E8F-A107-6B16EEC23C8D}"/>
    <cellStyle name="60% - アクセント 4 2" xfId="40" xr:uid="{67BA412D-A15D-41EC-8193-7ECA0533A17A}"/>
    <cellStyle name="60% - アクセント 5 2" xfId="41" xr:uid="{52922900-5A00-4B2C-B610-171F263FEC30}"/>
    <cellStyle name="60% - アクセント 6 2" xfId="42" xr:uid="{F6E984E0-F7BA-42F5-8E9B-6B750AA8BF90}"/>
    <cellStyle name="Accent1 2" xfId="43" xr:uid="{24B5AF5D-1AC3-403B-9DC2-4A2FA0654B21}"/>
    <cellStyle name="Accent2 2" xfId="44" xr:uid="{D5A48748-ECA6-4EDF-A27A-265E2E6F4381}"/>
    <cellStyle name="Accent3 2" xfId="45" xr:uid="{C20A86FF-4A58-4775-BC32-A495F0C91F74}"/>
    <cellStyle name="Accent4 2" xfId="46" xr:uid="{48881B83-6D4D-4E79-9BF3-F5DA1035658F}"/>
    <cellStyle name="Accent5 2" xfId="47" xr:uid="{00087EA3-636B-42FB-B678-732FCFAF34F4}"/>
    <cellStyle name="Accent6 2" xfId="48" xr:uid="{93DAA2F7-55D5-4ED4-B56F-EE9A824824B0}"/>
    <cellStyle name="Bad 2" xfId="49" xr:uid="{49B15767-5EE8-4DF3-81DF-DF399FC5FEB4}"/>
    <cellStyle name="Calc Currency (0)" xfId="50" xr:uid="{FA8CEFAB-91F8-4AFA-B30F-1A625562CCF5}"/>
    <cellStyle name="Calc Currency (0) 2" xfId="51" xr:uid="{6FF18AC2-152D-405B-A3F6-BC96435D8CF0}"/>
    <cellStyle name="Calc Currency (0) 3" xfId="52" xr:uid="{11C002C7-B963-4899-88F9-1DEEDE5DA8E5}"/>
    <cellStyle name="Calc Currency (0) 4" xfId="53" xr:uid="{A9E5415A-8672-4B87-B681-588BBB4D3478}"/>
    <cellStyle name="Calculation 2" xfId="54" xr:uid="{EE39E935-0F35-46BE-9E54-9463DA1966F0}"/>
    <cellStyle name="Check Cell 2" xfId="55" xr:uid="{E756EA2E-568B-43AD-B6F5-5625908427CE}"/>
    <cellStyle name="ColStyle1" xfId="56" xr:uid="{D0B346B8-7B33-4397-AE82-6B17B05C711B}"/>
    <cellStyle name="Comma" xfId="57" builtinId="3"/>
    <cellStyle name="Comma [0] 2" xfId="58" xr:uid="{9F805EAB-0AEC-43EA-876C-C79FF81AFD4E}"/>
    <cellStyle name="Comma [0] 2 2" xfId="59" xr:uid="{11455A6A-927F-458D-A1E4-763A1E660941}"/>
    <cellStyle name="Comma [0] 3" xfId="60" xr:uid="{F781FE9A-7DD9-45C4-AABB-557B26F09905}"/>
    <cellStyle name="Comma 10" xfId="61" xr:uid="{8913B1C7-FAC9-4EEF-AF83-2ABCE39A6C53}"/>
    <cellStyle name="Comma 2" xfId="62" xr:uid="{1FCFE780-028D-4EF6-A1DC-CD699DE9AC20}"/>
    <cellStyle name="Comma 2 2" xfId="63" xr:uid="{3C33D249-49D4-410F-A451-69D3767682B9}"/>
    <cellStyle name="Comma 2 2 2" xfId="64" xr:uid="{67FD7B2A-7693-4FAD-913B-F72D23F7D880}"/>
    <cellStyle name="Comma 2 2 2 2" xfId="65" xr:uid="{BDCBE545-CFE1-4F85-904B-87A9E9F2E290}"/>
    <cellStyle name="Comma 2 3" xfId="66" xr:uid="{9A5B87D5-6F4B-4D49-979C-40D740F3B79F}"/>
    <cellStyle name="Comma 2 4" xfId="67" xr:uid="{C3CD6AB0-5953-4182-A8CF-2DA317D5388E}"/>
    <cellStyle name="Comma 2 4 2" xfId="68" xr:uid="{994B08B7-E035-459E-B0AD-780BC6ACB1F6}"/>
    <cellStyle name="Comma 3" xfId="69" xr:uid="{4108C54E-ADB7-4DA0-98C6-91C0883CB13C}"/>
    <cellStyle name="Comma 3 2" xfId="70" xr:uid="{0E818C62-E0B3-416E-8DCB-F52C1E51B1A0}"/>
    <cellStyle name="Comma 3 3" xfId="71" xr:uid="{0A911A6D-0D8E-492B-AC57-243C196F4ECA}"/>
    <cellStyle name="Comma 3 4" xfId="72" xr:uid="{2C1769D4-94BC-4A33-88D9-8CD3BDFEB4BE}"/>
    <cellStyle name="Comma 4" xfId="73" xr:uid="{94E34565-8108-4438-BE47-E597DF23126C}"/>
    <cellStyle name="Comma 4 2" xfId="74" xr:uid="{9C46D171-FE29-4D08-8BEF-46D2A208F40F}"/>
    <cellStyle name="Comma 4 3" xfId="75" xr:uid="{11F9DBC0-D106-41B3-8101-6FC6E5E7DCCE}"/>
    <cellStyle name="Comma 5" xfId="76" xr:uid="{F18DF0C2-2BB3-4098-A66B-75662E817A16}"/>
    <cellStyle name="Comma 6" xfId="77" xr:uid="{C4321925-CCD6-420A-8038-6BD07B4BD538}"/>
    <cellStyle name="Comma 6 2" xfId="78" xr:uid="{401740D4-92D9-45AE-8C1E-3727DF33BD3A}"/>
    <cellStyle name="Comma 6 3" xfId="79" xr:uid="{4837540D-B3A8-419E-B3FF-F2B4ED7E6E43}"/>
    <cellStyle name="Comma 7" xfId="80" xr:uid="{39B30088-AD76-4281-9C1F-E1B6FBDCC43D}"/>
    <cellStyle name="Comma 8" xfId="81" xr:uid="{69D36D26-47C3-4CFB-8002-D6187A55B500}"/>
    <cellStyle name="Comma 9" xfId="82" xr:uid="{6E375B31-ACD2-4515-B988-5BD244B39E24}"/>
    <cellStyle name="Comma0" xfId="83" xr:uid="{194A7F2E-9485-4443-A5DA-9A589714211D}"/>
    <cellStyle name="COMP定番表書式" xfId="84" xr:uid="{3EA1ABA6-5651-40D8-8529-43BDC1640DFB}"/>
    <cellStyle name="Currency [0] 2" xfId="85" xr:uid="{33754885-AE2A-4603-BBE4-29C85AB1421B}"/>
    <cellStyle name="Currency [0] 2 2" xfId="86" xr:uid="{3AA02838-02B9-4E58-8247-31B7BA99123F}"/>
    <cellStyle name="Currency [0] 3" xfId="87" xr:uid="{7EE5ADB4-9521-4512-A416-A1A229C3B5C4}"/>
    <cellStyle name="Currency0" xfId="88" xr:uid="{D5746950-4414-49EB-BB74-DE5590566FE9}"/>
    <cellStyle name="Date" xfId="89" xr:uid="{EA007B04-9C3E-49C0-99C2-6ADE8186EE62}"/>
    <cellStyle name="ddmmyy" xfId="90" xr:uid="{981A7B90-5BB8-4C5B-8F73-061A3C407C28}"/>
    <cellStyle name="entry" xfId="91" xr:uid="{E9E034F3-B146-4DBA-AD83-9BB8A0AEA698}"/>
    <cellStyle name="Explanatory Text 2" xfId="92" xr:uid="{45C272C0-76FC-4591-B104-2277DBFBF58B}"/>
    <cellStyle name="Fixed" xfId="93" xr:uid="{E535B865-F7B7-41CE-A4FA-B8A904B92561}"/>
    <cellStyle name="Good 2" xfId="94" xr:uid="{E369A936-4241-48D1-9CDB-AB6E7CA00D22}"/>
    <cellStyle name="Grey" xfId="95" xr:uid="{2310A010-F031-40FA-8220-93D415F55C04}"/>
    <cellStyle name="Header1" xfId="96" xr:uid="{071E597C-9F87-4B47-921A-1479ADAD7B1D}"/>
    <cellStyle name="Header2" xfId="97" xr:uid="{3BDC9F58-6E9F-4C2A-AA7B-77932EFB0FCA}"/>
    <cellStyle name="Heading 1 2" xfId="98" xr:uid="{B110522E-4DA9-4DB8-87B3-F892BBEBDF8D}"/>
    <cellStyle name="Heading 2 2" xfId="99" xr:uid="{123D80E9-8A0A-46E4-81BC-EBD2F91A4020}"/>
    <cellStyle name="Heading 3 2" xfId="100" xr:uid="{332B1582-4E58-453F-B279-4153CB10A71F}"/>
    <cellStyle name="Heading 4 2" xfId="101" xr:uid="{8D7C0254-70DE-4037-A41D-E19A87AFAAAA}"/>
    <cellStyle name="Hyperlink 2" xfId="102" xr:uid="{95CF7878-E858-4541-8F01-64DC490DEA32}"/>
    <cellStyle name="Hyperlink 2 2" xfId="103" xr:uid="{49EB1ECC-F53A-44FD-827A-6F59AEC6A37B}"/>
    <cellStyle name="IBM(401K)" xfId="104" xr:uid="{CF654A9E-A323-4B83-8D20-57E70ACACEB2}"/>
    <cellStyle name="Input [yellow]" xfId="105" xr:uid="{56C85F19-644F-4C37-9573-605FCE4B426D}"/>
    <cellStyle name="Input 2" xfId="106" xr:uid="{7D4DC73A-7B8E-4B17-A07B-4B6DC88B72D8}"/>
    <cellStyle name="J401K" xfId="107" xr:uid="{07A0182C-4BD9-49D5-B47D-EAC9A789F45A}"/>
    <cellStyle name="JT帳票" xfId="108" xr:uid="{06A908EC-5335-4C46-ABC9-58885DB091BC}"/>
    <cellStyle name="JT帳票 2" xfId="109" xr:uid="{64D23D5B-FE60-4244-A2E8-F95436072054}"/>
    <cellStyle name="Ledger 17 x 11 in" xfId="110" xr:uid="{1EF4C06F-D1BF-437A-BAFE-E39F1D936550}"/>
    <cellStyle name="Ledger 17 x 11 in 13" xfId="111" xr:uid="{D8C49BDC-75F7-416D-820C-94239EEBEC6C}"/>
    <cellStyle name="Ledger 17 x 11 in 2" xfId="112" xr:uid="{FBBBD35B-559C-4F01-BDCD-78B542A70AF4}"/>
    <cellStyle name="Linked Cell 2" xfId="113" xr:uid="{91359189-0581-4155-9CCF-C89447753C13}"/>
    <cellStyle name="Milliers [0]_AR1194" xfId="114" xr:uid="{4E5E20C6-B7AE-4351-A681-954584D7C018}"/>
    <cellStyle name="Milliers_AR1194" xfId="115" xr:uid="{3D656C75-AF91-425F-86F1-EA8F1837F9D0}"/>
    <cellStyle name="Mon騁aire [0]_AR1194" xfId="116" xr:uid="{3CF2F6CB-5FD7-41CC-B4B5-1EE06018E825}"/>
    <cellStyle name="Mon騁aire_AR1194" xfId="117" xr:uid="{30786D76-3A03-43FD-B101-4EB31E5B00E8}"/>
    <cellStyle name="Neutral 2" xfId="118" xr:uid="{12DC5ECC-7D89-45F5-BF20-9542D6A74536}"/>
    <cellStyle name="Normal" xfId="0" builtinId="0"/>
    <cellStyle name="Normal - Style1" xfId="119" xr:uid="{4883FDCA-74D6-424E-AE83-26ED77852BF1}"/>
    <cellStyle name="Normal - Style1 2" xfId="120" xr:uid="{6FCBDE39-7CE9-403D-9940-BFC3706F158E}"/>
    <cellStyle name="Normal 10" xfId="121" xr:uid="{5487F9F6-68C4-4868-8E2A-99061B35E525}"/>
    <cellStyle name="Normal 10 2" xfId="122" xr:uid="{B302DED8-789D-4019-AD3E-C0C83AA87F97}"/>
    <cellStyle name="Normal 10 3" xfId="123" xr:uid="{82257BA0-18CD-4FE7-8CEA-5F14213AABE3}"/>
    <cellStyle name="Normal 10 4" xfId="124" xr:uid="{D31DE4C3-17BF-453C-93A9-241FEAA39980}"/>
    <cellStyle name="Normal 11" xfId="125" xr:uid="{87E92E21-30B1-4D97-8173-54EBCEA23245}"/>
    <cellStyle name="Normal 11 2" xfId="126" xr:uid="{F1CE2B7D-8740-4301-A1B8-302DF780A2BA}"/>
    <cellStyle name="Normal 11 3" xfId="127" xr:uid="{A55BA171-376D-4FA5-B0A3-B76F14A1C56B}"/>
    <cellStyle name="Normal 12" xfId="128" xr:uid="{901BFB8F-BC7F-44D2-ADDC-21E6553FCC6E}"/>
    <cellStyle name="Normal 12 2" xfId="129" xr:uid="{0D53A1F5-0688-4EDB-B3A0-FDC8B652C038}"/>
    <cellStyle name="Normal 12 3" xfId="130" xr:uid="{0891DAD4-F2A4-433E-BF6E-AFA29B3452CE}"/>
    <cellStyle name="Normal 13" xfId="131" xr:uid="{29A5C36A-302C-4D0A-AD0E-8934DDBD4172}"/>
    <cellStyle name="Normal 14" xfId="132" xr:uid="{98608CA1-7664-4743-BF87-67B2747526B0}"/>
    <cellStyle name="Normal 15" xfId="133" xr:uid="{F663DF7D-A316-41CB-8F55-8EBDCA002178}"/>
    <cellStyle name="Normal 16" xfId="134" xr:uid="{0C0C9247-8DD9-47D2-A5F6-B4561CC1CFCF}"/>
    <cellStyle name="Normal 17" xfId="135" xr:uid="{8FF29699-EEAD-433F-BFBF-B01C04C55F29}"/>
    <cellStyle name="Normal 18" xfId="136" xr:uid="{A38FDFC6-B45B-432B-AB72-3321311AA0C5}"/>
    <cellStyle name="Normal 18 2" xfId="137" xr:uid="{1CD00189-855B-4DC3-AA21-B059940D53B3}"/>
    <cellStyle name="Normal 18 3" xfId="138" xr:uid="{7E42801E-8D32-42D8-95CA-E884386B9DF2}"/>
    <cellStyle name="Normal 19" xfId="139" xr:uid="{897683DE-C98D-49EB-99B8-D8C56438C2BC}"/>
    <cellStyle name="Normal 2" xfId="140" xr:uid="{025BD0E9-0233-48EA-A90A-1DF8C3183297}"/>
    <cellStyle name="Normal 2 2" xfId="141" xr:uid="{5E914015-99EF-46F5-A3A1-C69C5BF5CF44}"/>
    <cellStyle name="Normal 2 2 2" xfId="142" xr:uid="{DF440EBC-EC48-4E0C-95F3-B97B3935DEA0}"/>
    <cellStyle name="Normal 2 2 3" xfId="143" xr:uid="{0FB25B80-ED2C-41F3-A36E-BC1CD4246958}"/>
    <cellStyle name="Normal 2 3" xfId="144" xr:uid="{EF198930-B848-458D-90C4-15D9B035B6AE}"/>
    <cellStyle name="Normal 2 3 2" xfId="145" xr:uid="{002FCBF1-670A-4A24-8BB7-352F90C59179}"/>
    <cellStyle name="Normal 2 4" xfId="146" xr:uid="{89267ABD-7322-43C2-9896-1A0CE53E7A71}"/>
    <cellStyle name="Normal 2 4 2" xfId="147" xr:uid="{D9CA99CE-0226-4DEE-A59D-CCC91EEB91BD}"/>
    <cellStyle name="Normal 2 5" xfId="148" xr:uid="{B62ACD65-A9F3-4612-8FD4-AD084FA8DFAB}"/>
    <cellStyle name="Normal 2 6" xfId="149" xr:uid="{E91140C3-E023-4798-88FC-9359BE7FE247}"/>
    <cellStyle name="Normal 2 7" xfId="150" xr:uid="{0CA44E12-6248-470A-9E4A-0FB1B39B5C21}"/>
    <cellStyle name="Normal 20" xfId="151" xr:uid="{813B231A-1BF4-469F-A961-110C0AC272C4}"/>
    <cellStyle name="Normal 21" xfId="152" xr:uid="{4F07B01F-8AA0-49AB-9AE0-7984507B460E}"/>
    <cellStyle name="Normal 22" xfId="153" xr:uid="{B23254EF-D655-4A12-81BE-5B6248CC8B04}"/>
    <cellStyle name="Normal 22 2" xfId="154" xr:uid="{A83B2C7F-ECA3-4DCF-8E1D-2FAABEF84DE9}"/>
    <cellStyle name="Normal 23" xfId="155" xr:uid="{EA2D61EA-A158-435D-8215-762974D4C7B3}"/>
    <cellStyle name="Normal 24" xfId="156" xr:uid="{6F7AC56A-FEAE-4847-BE61-F521B50E8A6B}"/>
    <cellStyle name="Normal 25" xfId="157" xr:uid="{16B80FF7-0AEE-497C-A64A-92F156DBA747}"/>
    <cellStyle name="Normal 26" xfId="158" xr:uid="{5359C1A3-0550-42C7-8BC6-434A0E879198}"/>
    <cellStyle name="Normal 27" xfId="159" xr:uid="{14FFBD7C-3594-4C47-80D3-9DA271A107CB}"/>
    <cellStyle name="Normal 3" xfId="160" xr:uid="{C9C92269-1296-42FE-8E0B-BCA109AB24A7}"/>
    <cellStyle name="Normal 3 2" xfId="161" xr:uid="{C6889552-8EAF-4EB7-B03F-E9DD942DE1CA}"/>
    <cellStyle name="Normal 3 2 2" xfId="162" xr:uid="{B8326ADE-49D1-4B6D-B6ED-A988318B31B7}"/>
    <cellStyle name="Normal 3 3" xfId="163" xr:uid="{0684238C-661D-4125-9153-A712B846C54F}"/>
    <cellStyle name="Normal 3 3 2" xfId="164" xr:uid="{29BE9EDC-0456-4D92-8095-4105AC29578A}"/>
    <cellStyle name="Normal 3 4" xfId="165" xr:uid="{BC96D8AF-163A-41AA-95C8-9FBDF15B340E}"/>
    <cellStyle name="Normal 3_HOACH TOAN MAY CAM LINH KIEN SW-ms.hương" xfId="166" xr:uid="{173B4177-FE6C-48F1-86FD-26FDDD1A7048}"/>
    <cellStyle name="Normal 4" xfId="167" xr:uid="{84D13384-5BCB-484B-8F57-F156DC046F45}"/>
    <cellStyle name="Normal 4 2" xfId="168" xr:uid="{D7DA7225-7C1B-4064-BE87-38D33559EDA7}"/>
    <cellStyle name="Normal 4 2 2" xfId="169" xr:uid="{77191DF0-ADD6-4A79-B232-F216ED84F12D}"/>
    <cellStyle name="Normal 4 2 3" xfId="170" xr:uid="{369E1DFB-61E7-4799-8B8C-0DF6DF48A1CE}"/>
    <cellStyle name="Normal 4 3" xfId="171" xr:uid="{9177E35F-BCD4-4EB4-B630-3F86DB783B3B}"/>
    <cellStyle name="Normal 4 4" xfId="172" xr:uid="{836A9EA2-B4AB-480A-81EB-EFA4912235B0}"/>
    <cellStyle name="Normal 4 5" xfId="173" xr:uid="{641CAE25-428E-4E99-897F-3E1FE0AC057A}"/>
    <cellStyle name="Normal 5" xfId="174" xr:uid="{0933CB18-5E52-45D4-8978-D88F7D6004F8}"/>
    <cellStyle name="Normal 5 2" xfId="175" xr:uid="{DC7EC357-0A6D-484D-BF09-EB5086087B40}"/>
    <cellStyle name="Normal 5 3" xfId="176" xr:uid="{EC2470F8-9CF7-403C-9FA8-7CF821EE6462}"/>
    <cellStyle name="Normal 5 4" xfId="177" xr:uid="{E1735690-6B4D-4AE0-8C23-097BF615F78A}"/>
    <cellStyle name="Normal 6" xfId="178" xr:uid="{5F868B2E-ABFE-466A-9DA5-9F1E2F587B6F}"/>
    <cellStyle name="Normal 6 2" xfId="179" xr:uid="{47BD9BB1-5D90-4B7F-97F5-59DC41A69998}"/>
    <cellStyle name="Normal 6 2 2" xfId="180" xr:uid="{4E88B9EC-268C-4680-A0DF-1F56BFEC8FC1}"/>
    <cellStyle name="Normal 6 3" xfId="181" xr:uid="{9E8297A0-0AC7-4D0E-A7BE-C5ACC2AE45DA}"/>
    <cellStyle name="Normal 6 4" xfId="182" xr:uid="{45C1EF33-1F9B-41D8-BFAC-D7F66854F12F}"/>
    <cellStyle name="Normal 7" xfId="183" xr:uid="{6923A1E3-E725-4269-80DE-6DFC531FF530}"/>
    <cellStyle name="Normal 7 2" xfId="184" xr:uid="{B279E607-0AFE-495E-8469-ED7276162DF8}"/>
    <cellStyle name="Normal 7 3" xfId="185" xr:uid="{1D70B0B7-A7D0-462C-B1FF-FAB71E6C76D4}"/>
    <cellStyle name="Normal 8" xfId="186" xr:uid="{DE4CE39E-4DAE-4EA1-AD65-E7017B9FF2F0}"/>
    <cellStyle name="Normal 8 2" xfId="187" xr:uid="{67BC7771-49E6-4F52-8CBF-E0B76DF0E7CC}"/>
    <cellStyle name="Normal 8 3" xfId="188" xr:uid="{4ADA5224-B9B2-48EF-89A8-4F87C4C1EAC9}"/>
    <cellStyle name="Normal 8 4" xfId="189" xr:uid="{F27B4EB4-AFAA-4D65-9147-AED397204B29}"/>
    <cellStyle name="Normal 8 5" xfId="190" xr:uid="{DF556716-3992-48CC-B045-8B9957238950}"/>
    <cellStyle name="Normal 9" xfId="191" xr:uid="{E82F2629-C237-4F25-B8CD-A558E2F51E26}"/>
    <cellStyle name="Normal 9 2" xfId="192" xr:uid="{7C679002-3C75-402F-846E-AAD4C46ED076}"/>
    <cellStyle name="Normal VN" xfId="193" xr:uid="{0371E7A1-8227-4361-BA6B-644EAFC89E7E}"/>
    <cellStyle name="Note 2" xfId="194" xr:uid="{8437D33D-2CED-46A9-B947-572113ADEBEE}"/>
    <cellStyle name="Output 2" xfId="195" xr:uid="{0ACCCA6B-870A-46F1-B0C1-E9283DBE7B49}"/>
    <cellStyle name="Percent [2]" xfId="196" xr:uid="{93CD9BE9-BBBC-47E3-B4F6-9163DC8137CD}"/>
    <cellStyle name="Percent 2" xfId="197" xr:uid="{19B49A12-D87F-4680-9B35-E67B500EE96B}"/>
    <cellStyle name="Percent 2 2" xfId="198" xr:uid="{F74C8B4F-9E4B-4975-B148-904415691150}"/>
    <cellStyle name="Percent 2 3" xfId="199" xr:uid="{DC742906-D22A-43FD-9260-798B7EF1216A}"/>
    <cellStyle name="Percent 3" xfId="200" xr:uid="{A428E3FE-F961-4D8F-A3D6-51ECBC337C6F}"/>
    <cellStyle name="Percent 3 2" xfId="201" xr:uid="{B6A5BDC2-0590-4957-96F6-7025CB965625}"/>
    <cellStyle name="Percent 4" xfId="202" xr:uid="{26326DA1-6E9E-44B2-A02A-5B5CE46C3860}"/>
    <cellStyle name="Percent 5" xfId="203" xr:uid="{997AE54E-4582-49B7-BB09-B2C7BA877CF6}"/>
    <cellStyle name="Percent 6" xfId="204" xr:uid="{8178903F-8C4F-4C88-A33B-A413B53A6CB0}"/>
    <cellStyle name="Percent 7" xfId="205" xr:uid="{C9E23F89-F955-46C7-AF68-AD52C17FCD57}"/>
    <cellStyle name="price" xfId="206" xr:uid="{75C75FCE-5434-4DF5-BC32-2A41972B4012}"/>
    <cellStyle name="Prosent_Ark1" xfId="207" xr:uid="{09CB882D-70C7-4F9A-9687-DFC9D33099E2}"/>
    <cellStyle name="PSChar" xfId="208" xr:uid="{69E4AB2D-FB57-4FD8-8E9C-802056620E28}"/>
    <cellStyle name="PSHeading" xfId="209" xr:uid="{F5FE0A75-3F5D-4681-9199-82C7483A006E}"/>
    <cellStyle name="PSInt" xfId="210" xr:uid="{BB16B0BE-A353-475F-9DCE-D9F474D47076}"/>
    <cellStyle name="revised" xfId="211" xr:uid="{7D4D2912-0786-4A9F-A315-64DF033BEFB0}"/>
    <cellStyle name="section" xfId="212" xr:uid="{9A10D89E-817A-43E3-8373-2A850607CD77}"/>
    <cellStyle name="Style 1" xfId="213" xr:uid="{122F56A7-0C76-40C9-8A86-93F2FCC00D2C}"/>
    <cellStyle name="Style 1 2" xfId="214" xr:uid="{F73F9B27-755A-49D7-9567-41CC963B996E}"/>
    <cellStyle name="Style 1 3" xfId="215" xr:uid="{3CEEDFA9-EDAE-41B5-8DF4-AA67C6060AD7}"/>
    <cellStyle name="Style Date" xfId="216" xr:uid="{ADAE31A6-F0B2-46EC-AE3E-27264CAF0387}"/>
    <cellStyle name="subhead" xfId="217" xr:uid="{1E93FC3E-F64F-477B-9C89-A251CA01A057}"/>
    <cellStyle name="Title 2" xfId="218" xr:uid="{E83AD8DB-8E12-4174-BA5B-F4FDFA829F35}"/>
    <cellStyle name="Total 2" xfId="219" xr:uid="{DB01BCED-101C-44D0-B98A-4CB48FBF1888}"/>
    <cellStyle name="Tusenskille [0]_Ark1" xfId="220" xr:uid="{E34C02B7-CB5C-4528-B172-D3B3C2453F36}"/>
    <cellStyle name="Tusenskille_Ark1" xfId="221" xr:uid="{87A86869-1A75-4529-901B-0277E3368209}"/>
    <cellStyle name="Valuta [0]_Ark1" xfId="222" xr:uid="{113577CA-F0FA-494B-BB10-4EF67B332287}"/>
    <cellStyle name="Valuta_Ark1" xfId="223" xr:uid="{D6EAE2E2-8085-48BD-B878-FF7B8F5F45C3}"/>
    <cellStyle name="Warning Text 2" xfId="224" xr:uid="{8F22A14A-222A-4CDE-89D1-18AE9EE59107}"/>
    <cellStyle name="アクセント 1 2" xfId="225" xr:uid="{6D95A394-AA30-4E1B-9C62-4757F509BE75}"/>
    <cellStyle name="アクセント 2 2" xfId="226" xr:uid="{B538BA5F-978C-420E-AE1F-83B0DFBB1424}"/>
    <cellStyle name="アクセント 3 2" xfId="227" xr:uid="{686707D8-58B7-4C78-8374-28C9A96F76B7}"/>
    <cellStyle name="アクセント 4 2" xfId="228" xr:uid="{39202823-E0E8-4F1B-9288-023FFFA75D86}"/>
    <cellStyle name="アクセント 5 2" xfId="229" xr:uid="{DCE7F870-2F04-42A9-AA87-455087635FEF}"/>
    <cellStyle name="アクセント 6 2" xfId="230" xr:uid="{32E90CBB-D7D2-4C38-8CC5-9A533B8D04F9}"/>
    <cellStyle name="スタイル 1" xfId="231" xr:uid="{266BA360-8133-4EA8-BA2F-F3494A25AE00}"/>
    <cellStyle name="センター" xfId="232" xr:uid="{7BF3E16D-D600-40C4-98CA-9393602FE383}"/>
    <cellStyle name="タイトル 2" xfId="233" xr:uid="{BFCDBD2F-C9A8-41AC-95F4-B8B626A7EB3F}"/>
    <cellStyle name="チェック セル 2" xfId="234" xr:uid="{6E35E728-22B8-4811-B34D-4BC6F861D3D5}"/>
    <cellStyle name="どちらでもない 2" xfId="235" xr:uid="{82E6151D-088C-4FB4-99CA-628D45523742}"/>
    <cellStyle name="パーセント 2" xfId="236" xr:uid="{63AFAB05-AD2A-4872-AD2F-DC6626CCCA0D}"/>
    <cellStyle name="パーセント 2 2" xfId="237" xr:uid="{B1620D76-01B8-4075-AE8B-FC852E9EC99A}"/>
    <cellStyle name="パーセント 2 3" xfId="238" xr:uid="{33DD47CA-79A1-4EDA-AC46-187582079EC8}"/>
    <cellStyle name="パーセント 3" xfId="239" xr:uid="{9AD119B6-EE1B-4D99-828F-E4207C198B8A}"/>
    <cellStyle name="メモ 2" xfId="240" xr:uid="{475A159A-365C-4990-8CF3-954E6502FB33}"/>
    <cellStyle name="リンク セル 2" xfId="241" xr:uid="{267523FC-95A0-43FB-A78B-25652BF29C63}"/>
    <cellStyle name="ปกติ_02015ml-1_Mcc_Feed Mill" xfId="242" xr:uid="{A5B357C8-ED11-48C4-A85D-34423598AA90}"/>
    <cellStyle name="一般 2" xfId="243" xr:uid="{C56DA6F9-9857-43AA-B175-448A66CF2D06}"/>
    <cellStyle name="一般_Ewp-02" xfId="244" xr:uid="{CFE4B92B-E3C0-4764-8772-36E366EF3256}"/>
    <cellStyle name="下点線" xfId="245" xr:uid="{7B5E40D7-261B-43AA-8BC0-36D9C00E15A6}"/>
    <cellStyle name="人月" xfId="246" xr:uid="{05191E68-0235-4318-ADA0-1FD7F4855098}"/>
    <cellStyle name="人月 2" xfId="247" xr:uid="{C148A105-262D-4FAE-8FF5-22F51C7B778B}"/>
    <cellStyle name="入力 2" xfId="248" xr:uid="{23E77276-259E-4A1B-8681-AE82EE3ACF95}"/>
    <cellStyle name="出力 2" xfId="249" xr:uid="{09803CB8-6D71-4923-BECD-C6EB6DC2A403}"/>
    <cellStyle name="千分位 2" xfId="250" xr:uid="{A0B1B1E5-2285-455D-B8DF-411B303F7566}"/>
    <cellStyle name="千分位 3" xfId="251" xr:uid="{B2DA3AD6-728D-4250-AF5D-EEADABD10DC4}"/>
    <cellStyle name="常规_HS KD ORDER 0311～" xfId="252" xr:uid="{5104472D-34AD-4266-8100-C8F5F08A59FB}"/>
    <cellStyle name="悪い 2" xfId="253" xr:uid="{D52875AF-9CAC-41DE-90D0-2C51F4B9ED04}"/>
    <cellStyle name="未定義" xfId="254" xr:uid="{7B444F1C-8297-4FC0-84E2-66320F9A13DD}"/>
    <cellStyle name="桁区切り [0.00] 2" xfId="255" xr:uid="{8C673180-1BC8-4F6A-8F94-A21B82911E5C}"/>
    <cellStyle name="桁区切り [0.00] 2 2" xfId="256" xr:uid="{6D00E169-EB8C-487D-84F8-D369605FD0BB}"/>
    <cellStyle name="桁区切り [0.00] 2 3" xfId="257" xr:uid="{1B0B1CAF-AF41-4FCC-976A-B7C9BE976077}"/>
    <cellStyle name="桁区切り [0.00] 2 3 2" xfId="258" xr:uid="{D5727746-BEB8-4DB2-8754-75AF174AF595}"/>
    <cellStyle name="桁区切り 2" xfId="259" xr:uid="{2CADE031-6F22-47CA-8297-468DF8340E02}"/>
    <cellStyle name="桁区切り 2 2" xfId="260" xr:uid="{4470FAD6-542E-4080-B128-B60AB9FB7D7C}"/>
    <cellStyle name="桁区切り 3" xfId="261" xr:uid="{CC39BA70-C798-46B6-8175-F7D5208E3AD1}"/>
    <cellStyle name="桁区切り 4" xfId="262" xr:uid="{C314D25F-D6C0-4FE3-B76C-4CA575EE400E}"/>
    <cellStyle name="桁区切り 5" xfId="263" xr:uid="{B275DADE-9F42-44C5-A9AE-C31A8DAB8C18}"/>
    <cellStyle name="桁区切り 6" xfId="264" xr:uid="{CB799FF4-5C08-4819-9DBA-8EB2DC775311}"/>
    <cellStyle name="桁蟻唇Ｆ [0.00]_laroux" xfId="265" xr:uid="{C75A5922-C799-489D-9A91-B1658AA8FF22}"/>
    <cellStyle name="桁蟻唇Ｆ_laroux" xfId="266" xr:uid="{B40B60A9-AF86-4D1D-AA6D-D40B41E95281}"/>
    <cellStyle name="標準 2" xfId="267" xr:uid="{9E022B6C-37F0-4412-8DF2-25887541F083}"/>
    <cellStyle name="標準 2 2" xfId="268" xr:uid="{F5F21F4E-6119-44EE-87A5-1C71F5C79C73}"/>
    <cellStyle name="標準 2 2 2" xfId="269" xr:uid="{D077D064-84B8-4ACD-8678-43A161FC9D15}"/>
    <cellStyle name="標準 2 3" xfId="270" xr:uid="{76648B25-1F0E-4301-A119-9D8E1A1F0882}"/>
    <cellStyle name="標準 2 4" xfId="271" xr:uid="{34ECB9A1-AF68-4CD7-AEDB-C9F8E3357271}"/>
    <cellStyle name="標準 2 4 2" xfId="272" xr:uid="{E890569D-69D5-49CE-85DA-AD7C02911C5F}"/>
    <cellStyle name="標準 2 5" xfId="273" xr:uid="{67C28B7B-321A-475B-B215-2C3A6ED23899}"/>
    <cellStyle name="標準 3" xfId="274" xr:uid="{40E7A2A7-3753-4285-A315-27E0AE096DD7}"/>
    <cellStyle name="標準 3 2" xfId="275" xr:uid="{E37580E1-ED81-4D54-A4D0-2FE8C4E9BC99}"/>
    <cellStyle name="標準 3 3" xfId="276" xr:uid="{981D4BA4-9CA9-4172-A1D4-F5BA81D96186}"/>
    <cellStyle name="標準 3 4" xfId="277" xr:uid="{BA8C6629-7AF4-48D1-ACC2-2CB18057EEE8}"/>
    <cellStyle name="標準 3_1228_FJ回答）NP_COM_PRO_250_帳票レイアウト業務指摘事項一覧_K1.1(参照)_20111229170822" xfId="278" xr:uid="{AFF4F92E-F6C8-4F8F-8F99-D64F4BE7A6DC}"/>
    <cellStyle name="標準 4" xfId="279" xr:uid="{BA5FCFF6-5D7E-4C34-9635-505AA9392C2E}"/>
    <cellStyle name="標準 4 2" xfId="280" xr:uid="{8113B0BE-B30D-4BE7-AC7A-1DDC55AFCD61}"/>
    <cellStyle name="標準 5" xfId="281" xr:uid="{8C689820-A8F8-4440-931D-37B89D1C6A25}"/>
    <cellStyle name="標準 6" xfId="282" xr:uid="{A7CE9011-4A2B-4366-B53F-855DD407C607}"/>
    <cellStyle name="標準_Sheet1" xfId="283" xr:uid="{019D005E-CE03-4A8B-AC25-ECA75D36D0B5}"/>
    <cellStyle name="樣式 1" xfId="284" xr:uid="{1B82FFEA-9ACC-45CA-B405-C2B326DBC00F}"/>
    <cellStyle name="百分比 2" xfId="285" xr:uid="{B27694F4-A6AE-4EE5-8CF2-9C8DFC5DC83A}"/>
    <cellStyle name="破線" xfId="286" xr:uid="{D21E53E8-5DD8-4EA1-99B6-4B1AAEDD15A3}"/>
    <cellStyle name="脱浦 [0.00]_7411" xfId="287" xr:uid="{1A811D32-2CB5-451E-AB6F-6E8674AE3FE7}"/>
    <cellStyle name="脱浦_7411" xfId="288" xr:uid="{D536E26E-DCD6-4C1E-BDE0-253BB18F033F}"/>
    <cellStyle name="良い 2" xfId="289" xr:uid="{F87596B7-3CD1-4897-BE9F-6A10F0673CF1}"/>
    <cellStyle name="見出し 1 2" xfId="290" xr:uid="{3E512A9A-3B5C-44A6-8660-CBAA511F5E1E}"/>
    <cellStyle name="見出し 2 2" xfId="291" xr:uid="{B7CD63C5-DFF4-4A5F-9512-466A8D75830F}"/>
    <cellStyle name="見出し 3 2" xfId="292" xr:uid="{7616F36B-81E2-4331-8E9E-A141CD2B69BF}"/>
    <cellStyle name="見出し 4 2" xfId="293" xr:uid="{420AD13C-2110-43E8-B632-33A316B137E6}"/>
    <cellStyle name="計算 2" xfId="294" xr:uid="{160C9F47-A14A-4B56-AB6A-283B97867A50}"/>
    <cellStyle name="説明文 2" xfId="295" xr:uid="{48E70EE6-00C6-4701-BDCF-001397EBCC3F}"/>
    <cellStyle name="警告文 2" xfId="296" xr:uid="{E0080B73-8F6D-438B-9CAC-3EDAE82BE98F}"/>
    <cellStyle name="集計 2" xfId="297" xr:uid="{F82BBBA0-1FE8-4604-A465-34F3336E70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10" name=":th">
          <a:extLst>
            <a:ext uri="{FF2B5EF4-FFF2-40B4-BE49-F238E27FC236}">
              <a16:creationId xmlns:a16="http://schemas.microsoft.com/office/drawing/2014/main" id="{3FF5176E-0AB7-FB44-E3F1-22370C355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11" name=":th">
          <a:extLst>
            <a:ext uri="{FF2B5EF4-FFF2-40B4-BE49-F238E27FC236}">
              <a16:creationId xmlns:a16="http://schemas.microsoft.com/office/drawing/2014/main" id="{0BBC711A-5515-3E40-7C35-E16F58226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12" name=":th">
          <a:extLst>
            <a:ext uri="{FF2B5EF4-FFF2-40B4-BE49-F238E27FC236}">
              <a16:creationId xmlns:a16="http://schemas.microsoft.com/office/drawing/2014/main" id="{488F2E38-E8CF-C2E4-74E4-D7CC7DA6A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13" name=":th">
          <a:extLst>
            <a:ext uri="{FF2B5EF4-FFF2-40B4-BE49-F238E27FC236}">
              <a16:creationId xmlns:a16="http://schemas.microsoft.com/office/drawing/2014/main" id="{F9AA9C27-AB81-CDAC-C28E-AF6640BF3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14" name=":th">
          <a:extLst>
            <a:ext uri="{FF2B5EF4-FFF2-40B4-BE49-F238E27FC236}">
              <a16:creationId xmlns:a16="http://schemas.microsoft.com/office/drawing/2014/main" id="{C1AE62E6-E4AC-1D18-BE25-580E4816D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15" name=":th">
          <a:extLst>
            <a:ext uri="{FF2B5EF4-FFF2-40B4-BE49-F238E27FC236}">
              <a16:creationId xmlns:a16="http://schemas.microsoft.com/office/drawing/2014/main" id="{5E877CA1-1CCC-6B3C-BB06-8078FAFDE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16" name=":th">
          <a:extLst>
            <a:ext uri="{FF2B5EF4-FFF2-40B4-BE49-F238E27FC236}">
              <a16:creationId xmlns:a16="http://schemas.microsoft.com/office/drawing/2014/main" id="{9E24974B-DE48-08FC-613E-048FC8550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17" name=":th">
          <a:extLst>
            <a:ext uri="{FF2B5EF4-FFF2-40B4-BE49-F238E27FC236}">
              <a16:creationId xmlns:a16="http://schemas.microsoft.com/office/drawing/2014/main" id="{92C4E45B-E6A1-602E-16FA-6831457C7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18" name=":th">
          <a:extLst>
            <a:ext uri="{FF2B5EF4-FFF2-40B4-BE49-F238E27FC236}">
              <a16:creationId xmlns:a16="http://schemas.microsoft.com/office/drawing/2014/main" id="{0119F574-A8AA-D1E3-BBF8-5A90EE665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19" name=":th">
          <a:extLst>
            <a:ext uri="{FF2B5EF4-FFF2-40B4-BE49-F238E27FC236}">
              <a16:creationId xmlns:a16="http://schemas.microsoft.com/office/drawing/2014/main" id="{0D56DE42-706C-1295-32B6-73717EE8D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20" name=":th">
          <a:extLst>
            <a:ext uri="{FF2B5EF4-FFF2-40B4-BE49-F238E27FC236}">
              <a16:creationId xmlns:a16="http://schemas.microsoft.com/office/drawing/2014/main" id="{E2B2B78A-F68C-DB72-5CDB-400AB01C4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21" name=":th">
          <a:extLst>
            <a:ext uri="{FF2B5EF4-FFF2-40B4-BE49-F238E27FC236}">
              <a16:creationId xmlns:a16="http://schemas.microsoft.com/office/drawing/2014/main" id="{20A6622B-E537-FC19-2460-F947F3447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22" name=":th">
          <a:extLst>
            <a:ext uri="{FF2B5EF4-FFF2-40B4-BE49-F238E27FC236}">
              <a16:creationId xmlns:a16="http://schemas.microsoft.com/office/drawing/2014/main" id="{14470F27-3DF9-22FA-98C5-05899033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23" name=":th">
          <a:extLst>
            <a:ext uri="{FF2B5EF4-FFF2-40B4-BE49-F238E27FC236}">
              <a16:creationId xmlns:a16="http://schemas.microsoft.com/office/drawing/2014/main" id="{1AA8F958-C8F9-A194-16E2-2922AE21F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24" name=":th">
          <a:extLst>
            <a:ext uri="{FF2B5EF4-FFF2-40B4-BE49-F238E27FC236}">
              <a16:creationId xmlns:a16="http://schemas.microsoft.com/office/drawing/2014/main" id="{DEF262B9-EC7B-78B8-5917-69EB5CD6F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25" name=":th">
          <a:extLst>
            <a:ext uri="{FF2B5EF4-FFF2-40B4-BE49-F238E27FC236}">
              <a16:creationId xmlns:a16="http://schemas.microsoft.com/office/drawing/2014/main" id="{284E5F13-18F4-52C5-94F0-0A6E749E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26" name=":th">
          <a:extLst>
            <a:ext uri="{FF2B5EF4-FFF2-40B4-BE49-F238E27FC236}">
              <a16:creationId xmlns:a16="http://schemas.microsoft.com/office/drawing/2014/main" id="{0A2D6EDB-8836-6B6A-E572-3C8EA0AEC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27" name=":th">
          <a:extLst>
            <a:ext uri="{FF2B5EF4-FFF2-40B4-BE49-F238E27FC236}">
              <a16:creationId xmlns:a16="http://schemas.microsoft.com/office/drawing/2014/main" id="{E01AA0A1-189C-70AF-2962-B5D68B7F2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28" name=":th">
          <a:extLst>
            <a:ext uri="{FF2B5EF4-FFF2-40B4-BE49-F238E27FC236}">
              <a16:creationId xmlns:a16="http://schemas.microsoft.com/office/drawing/2014/main" id="{F4F8DD4F-6304-8909-9282-B0E53DB69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29" name=":th">
          <a:extLst>
            <a:ext uri="{FF2B5EF4-FFF2-40B4-BE49-F238E27FC236}">
              <a16:creationId xmlns:a16="http://schemas.microsoft.com/office/drawing/2014/main" id="{8F407616-45D9-77B3-C648-61FDC4CD9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30" name=":th">
          <a:extLst>
            <a:ext uri="{FF2B5EF4-FFF2-40B4-BE49-F238E27FC236}">
              <a16:creationId xmlns:a16="http://schemas.microsoft.com/office/drawing/2014/main" id="{BE152057-8207-03C2-3CDD-2CE854E74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31" name=":th">
          <a:extLst>
            <a:ext uri="{FF2B5EF4-FFF2-40B4-BE49-F238E27FC236}">
              <a16:creationId xmlns:a16="http://schemas.microsoft.com/office/drawing/2014/main" id="{75337B28-CF58-19BA-3ECA-B41BF7C77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32" name=":th">
          <a:extLst>
            <a:ext uri="{FF2B5EF4-FFF2-40B4-BE49-F238E27FC236}">
              <a16:creationId xmlns:a16="http://schemas.microsoft.com/office/drawing/2014/main" id="{6781F54A-D160-3BD1-1012-08DF524F4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33" name=":th">
          <a:extLst>
            <a:ext uri="{FF2B5EF4-FFF2-40B4-BE49-F238E27FC236}">
              <a16:creationId xmlns:a16="http://schemas.microsoft.com/office/drawing/2014/main" id="{9D3D907B-D981-65AF-D008-16A164115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34" name=":th">
          <a:extLst>
            <a:ext uri="{FF2B5EF4-FFF2-40B4-BE49-F238E27FC236}">
              <a16:creationId xmlns:a16="http://schemas.microsoft.com/office/drawing/2014/main" id="{07984AA0-787B-0FDB-8416-DA733AF21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35" name=":th">
          <a:extLst>
            <a:ext uri="{FF2B5EF4-FFF2-40B4-BE49-F238E27FC236}">
              <a16:creationId xmlns:a16="http://schemas.microsoft.com/office/drawing/2014/main" id="{AB19FACA-3074-FCF7-40BD-7EC6F6E59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36" name=":th">
          <a:extLst>
            <a:ext uri="{FF2B5EF4-FFF2-40B4-BE49-F238E27FC236}">
              <a16:creationId xmlns:a16="http://schemas.microsoft.com/office/drawing/2014/main" id="{AAE9D819-2CD7-65BA-B706-C13FB3F0B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37" name=":th">
          <a:extLst>
            <a:ext uri="{FF2B5EF4-FFF2-40B4-BE49-F238E27FC236}">
              <a16:creationId xmlns:a16="http://schemas.microsoft.com/office/drawing/2014/main" id="{C9F250B4-3BEE-65E9-8850-B6107A2AA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38" name=":th">
          <a:extLst>
            <a:ext uri="{FF2B5EF4-FFF2-40B4-BE49-F238E27FC236}">
              <a16:creationId xmlns:a16="http://schemas.microsoft.com/office/drawing/2014/main" id="{7078FE80-CC9F-D1F7-6B6A-238898383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39" name=":th">
          <a:extLst>
            <a:ext uri="{FF2B5EF4-FFF2-40B4-BE49-F238E27FC236}">
              <a16:creationId xmlns:a16="http://schemas.microsoft.com/office/drawing/2014/main" id="{35C49F7B-8B9D-1478-D717-6988ADFBB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40" name=":th">
          <a:extLst>
            <a:ext uri="{FF2B5EF4-FFF2-40B4-BE49-F238E27FC236}">
              <a16:creationId xmlns:a16="http://schemas.microsoft.com/office/drawing/2014/main" id="{3556B95B-4746-B2B8-B1EE-D9FEE6157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41" name=":th">
          <a:extLst>
            <a:ext uri="{FF2B5EF4-FFF2-40B4-BE49-F238E27FC236}">
              <a16:creationId xmlns:a16="http://schemas.microsoft.com/office/drawing/2014/main" id="{06618D4C-38DB-517C-3875-0E478E7AA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42" name=":th">
          <a:extLst>
            <a:ext uri="{FF2B5EF4-FFF2-40B4-BE49-F238E27FC236}">
              <a16:creationId xmlns:a16="http://schemas.microsoft.com/office/drawing/2014/main" id="{939808EB-7A30-3E86-C014-F4A54B35B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43" name=":th">
          <a:extLst>
            <a:ext uri="{FF2B5EF4-FFF2-40B4-BE49-F238E27FC236}">
              <a16:creationId xmlns:a16="http://schemas.microsoft.com/office/drawing/2014/main" id="{0CD48130-61F1-84D3-B6A8-4273FB941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44" name=":th">
          <a:extLst>
            <a:ext uri="{FF2B5EF4-FFF2-40B4-BE49-F238E27FC236}">
              <a16:creationId xmlns:a16="http://schemas.microsoft.com/office/drawing/2014/main" id="{9F89F3FE-6932-2DE1-2A97-ADBAC0A5A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45" name=":th">
          <a:extLst>
            <a:ext uri="{FF2B5EF4-FFF2-40B4-BE49-F238E27FC236}">
              <a16:creationId xmlns:a16="http://schemas.microsoft.com/office/drawing/2014/main" id="{BB12BFFB-B6B1-AA94-F7EB-8A3B763C0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46" name=":th">
          <a:extLst>
            <a:ext uri="{FF2B5EF4-FFF2-40B4-BE49-F238E27FC236}">
              <a16:creationId xmlns:a16="http://schemas.microsoft.com/office/drawing/2014/main" id="{49760C4A-4886-0AB4-A6ED-3870DC9AE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47" name=":th">
          <a:extLst>
            <a:ext uri="{FF2B5EF4-FFF2-40B4-BE49-F238E27FC236}">
              <a16:creationId xmlns:a16="http://schemas.microsoft.com/office/drawing/2014/main" id="{5A042F2A-429D-1801-6668-FE3B8F4CC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48" name=":th">
          <a:extLst>
            <a:ext uri="{FF2B5EF4-FFF2-40B4-BE49-F238E27FC236}">
              <a16:creationId xmlns:a16="http://schemas.microsoft.com/office/drawing/2014/main" id="{FC5310F2-0DE0-2D24-F8B4-71E71FE45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49" name=":th">
          <a:extLst>
            <a:ext uri="{FF2B5EF4-FFF2-40B4-BE49-F238E27FC236}">
              <a16:creationId xmlns:a16="http://schemas.microsoft.com/office/drawing/2014/main" id="{A0B4A953-0F28-9187-6508-26C6FDA4C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50" name=":th">
          <a:extLst>
            <a:ext uri="{FF2B5EF4-FFF2-40B4-BE49-F238E27FC236}">
              <a16:creationId xmlns:a16="http://schemas.microsoft.com/office/drawing/2014/main" id="{29D85C29-42F6-B572-C28F-F45588B81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51" name=":th">
          <a:extLst>
            <a:ext uri="{FF2B5EF4-FFF2-40B4-BE49-F238E27FC236}">
              <a16:creationId xmlns:a16="http://schemas.microsoft.com/office/drawing/2014/main" id="{88A13997-BA72-5AB0-95EC-BF742AC86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52" name=":th">
          <a:extLst>
            <a:ext uri="{FF2B5EF4-FFF2-40B4-BE49-F238E27FC236}">
              <a16:creationId xmlns:a16="http://schemas.microsoft.com/office/drawing/2014/main" id="{0EAF25A9-6D15-E130-D25B-13E7786FB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53" name=":th">
          <a:extLst>
            <a:ext uri="{FF2B5EF4-FFF2-40B4-BE49-F238E27FC236}">
              <a16:creationId xmlns:a16="http://schemas.microsoft.com/office/drawing/2014/main" id="{93C99475-2D04-045C-A0B6-27DF16024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54" name=":th">
          <a:extLst>
            <a:ext uri="{FF2B5EF4-FFF2-40B4-BE49-F238E27FC236}">
              <a16:creationId xmlns:a16="http://schemas.microsoft.com/office/drawing/2014/main" id="{0B05AC95-4C26-034B-81CB-207716AB7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55" name=":th">
          <a:extLst>
            <a:ext uri="{FF2B5EF4-FFF2-40B4-BE49-F238E27FC236}">
              <a16:creationId xmlns:a16="http://schemas.microsoft.com/office/drawing/2014/main" id="{D20DD364-D2EA-136A-E9BC-B8F581E60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56" name=":th">
          <a:extLst>
            <a:ext uri="{FF2B5EF4-FFF2-40B4-BE49-F238E27FC236}">
              <a16:creationId xmlns:a16="http://schemas.microsoft.com/office/drawing/2014/main" id="{BD5137C9-6AB5-C479-21F0-D4C51D1D1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57" name=":th">
          <a:extLst>
            <a:ext uri="{FF2B5EF4-FFF2-40B4-BE49-F238E27FC236}">
              <a16:creationId xmlns:a16="http://schemas.microsoft.com/office/drawing/2014/main" id="{FC257904-262A-6699-AE24-B73A94CD4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58" name=":th">
          <a:extLst>
            <a:ext uri="{FF2B5EF4-FFF2-40B4-BE49-F238E27FC236}">
              <a16:creationId xmlns:a16="http://schemas.microsoft.com/office/drawing/2014/main" id="{ED42BCDC-F312-1C80-7FDE-F083F6B23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59" name=":th">
          <a:extLst>
            <a:ext uri="{FF2B5EF4-FFF2-40B4-BE49-F238E27FC236}">
              <a16:creationId xmlns:a16="http://schemas.microsoft.com/office/drawing/2014/main" id="{E805589E-CC11-97C7-09F6-3A0A81227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60" name=":th">
          <a:extLst>
            <a:ext uri="{FF2B5EF4-FFF2-40B4-BE49-F238E27FC236}">
              <a16:creationId xmlns:a16="http://schemas.microsoft.com/office/drawing/2014/main" id="{7D2D8417-56AD-CEC9-A4FB-03AA8E4A1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61" name=":th">
          <a:extLst>
            <a:ext uri="{FF2B5EF4-FFF2-40B4-BE49-F238E27FC236}">
              <a16:creationId xmlns:a16="http://schemas.microsoft.com/office/drawing/2014/main" id="{03FEA644-FF75-1291-1EAF-D2BCAE0E0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62" name=":th">
          <a:extLst>
            <a:ext uri="{FF2B5EF4-FFF2-40B4-BE49-F238E27FC236}">
              <a16:creationId xmlns:a16="http://schemas.microsoft.com/office/drawing/2014/main" id="{512D42C3-8173-9B79-F3C9-28E146A14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63" name=":th">
          <a:extLst>
            <a:ext uri="{FF2B5EF4-FFF2-40B4-BE49-F238E27FC236}">
              <a16:creationId xmlns:a16="http://schemas.microsoft.com/office/drawing/2014/main" id="{F8901BF3-9B8A-DC80-F1B2-B836A282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64" name=":th">
          <a:extLst>
            <a:ext uri="{FF2B5EF4-FFF2-40B4-BE49-F238E27FC236}">
              <a16:creationId xmlns:a16="http://schemas.microsoft.com/office/drawing/2014/main" id="{0C5BD9BC-39FC-DEF8-9161-C8A27913F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65" name=":th">
          <a:extLst>
            <a:ext uri="{FF2B5EF4-FFF2-40B4-BE49-F238E27FC236}">
              <a16:creationId xmlns:a16="http://schemas.microsoft.com/office/drawing/2014/main" id="{9E97A2C3-C8DF-E817-B30F-246B04E66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66" name=":th">
          <a:extLst>
            <a:ext uri="{FF2B5EF4-FFF2-40B4-BE49-F238E27FC236}">
              <a16:creationId xmlns:a16="http://schemas.microsoft.com/office/drawing/2014/main" id="{8D831390-A7C7-E974-2B85-AE5B9B16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67" name=":th">
          <a:extLst>
            <a:ext uri="{FF2B5EF4-FFF2-40B4-BE49-F238E27FC236}">
              <a16:creationId xmlns:a16="http://schemas.microsoft.com/office/drawing/2014/main" id="{0AA2877D-3A57-5F2C-2C8F-CEC32EA8E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68" name=":th">
          <a:extLst>
            <a:ext uri="{FF2B5EF4-FFF2-40B4-BE49-F238E27FC236}">
              <a16:creationId xmlns:a16="http://schemas.microsoft.com/office/drawing/2014/main" id="{128DFDA2-EBCD-F481-9F35-37D41B955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69" name=":th">
          <a:extLst>
            <a:ext uri="{FF2B5EF4-FFF2-40B4-BE49-F238E27FC236}">
              <a16:creationId xmlns:a16="http://schemas.microsoft.com/office/drawing/2014/main" id="{5A2EBFB1-9BE4-E5DB-C9F4-D0B1DC7A8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70" name=":th">
          <a:extLst>
            <a:ext uri="{FF2B5EF4-FFF2-40B4-BE49-F238E27FC236}">
              <a16:creationId xmlns:a16="http://schemas.microsoft.com/office/drawing/2014/main" id="{F02AF541-5B47-8AB5-3278-4C0AA0E2D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71" name=":th">
          <a:extLst>
            <a:ext uri="{FF2B5EF4-FFF2-40B4-BE49-F238E27FC236}">
              <a16:creationId xmlns:a16="http://schemas.microsoft.com/office/drawing/2014/main" id="{88C9D223-D436-84E8-3912-731809711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72" name=":th">
          <a:extLst>
            <a:ext uri="{FF2B5EF4-FFF2-40B4-BE49-F238E27FC236}">
              <a16:creationId xmlns:a16="http://schemas.microsoft.com/office/drawing/2014/main" id="{4E7B663E-7CDA-6E96-6056-28034AE17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19050</xdr:colOff>
      <xdr:row>17</xdr:row>
      <xdr:rowOff>0</xdr:rowOff>
    </xdr:to>
    <xdr:pic>
      <xdr:nvPicPr>
        <xdr:cNvPr id="6473" name=":th">
          <a:extLst>
            <a:ext uri="{FF2B5EF4-FFF2-40B4-BE49-F238E27FC236}">
              <a16:creationId xmlns:a16="http://schemas.microsoft.com/office/drawing/2014/main" id="{BC7A4EF4-933E-C9DA-A5B5-F6C3C6DD3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334327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19050</xdr:colOff>
      <xdr:row>27</xdr:row>
      <xdr:rowOff>161925</xdr:rowOff>
    </xdr:to>
    <xdr:sp macro="" textlink="">
      <xdr:nvSpPr>
        <xdr:cNvPr id="6474" name="AutoShape 1">
          <a:extLst>
            <a:ext uri="{FF2B5EF4-FFF2-40B4-BE49-F238E27FC236}">
              <a16:creationId xmlns:a16="http://schemas.microsoft.com/office/drawing/2014/main" id="{93EC167E-C486-C35A-954D-8F11CD37B063}"/>
            </a:ext>
          </a:extLst>
        </xdr:cNvPr>
        <xdr:cNvSpPr>
          <a:spLocks noChangeAspect="1" noChangeArrowheads="1"/>
        </xdr:cNvSpPr>
      </xdr:nvSpPr>
      <xdr:spPr bwMode="auto">
        <a:xfrm>
          <a:off x="2962275" y="3143250"/>
          <a:ext cx="19050" cy="268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19050</xdr:colOff>
      <xdr:row>27</xdr:row>
      <xdr:rowOff>161925</xdr:rowOff>
    </xdr:to>
    <xdr:sp macro="" textlink="">
      <xdr:nvSpPr>
        <xdr:cNvPr id="6475" name="AutoShape 1">
          <a:extLst>
            <a:ext uri="{FF2B5EF4-FFF2-40B4-BE49-F238E27FC236}">
              <a16:creationId xmlns:a16="http://schemas.microsoft.com/office/drawing/2014/main" id="{C52892F0-E633-1FAE-9545-56E91009B79E}"/>
            </a:ext>
          </a:extLst>
        </xdr:cNvPr>
        <xdr:cNvSpPr>
          <a:spLocks noChangeAspect="1" noChangeArrowheads="1"/>
        </xdr:cNvSpPr>
      </xdr:nvSpPr>
      <xdr:spPr bwMode="auto">
        <a:xfrm>
          <a:off x="2962275" y="3143250"/>
          <a:ext cx="19050" cy="268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A24B-368B-47BF-8549-5E7AB014178F}">
  <dimension ref="A1:U18"/>
  <sheetViews>
    <sheetView tabSelected="1" topLeftCell="F6" zoomScale="85" zoomScaleNormal="85" workbookViewId="0">
      <selection activeCell="M12" sqref="M12"/>
    </sheetView>
  </sheetViews>
  <sheetFormatPr defaultColWidth="8.88671875" defaultRowHeight="15.6"/>
  <cols>
    <col min="1" max="1" width="9.44140625" style="2" customWidth="1"/>
    <col min="2" max="2" width="18.77734375" style="2" customWidth="1"/>
    <col min="3" max="3" width="21.88671875" style="2" customWidth="1"/>
    <col min="4" max="5" width="24.33203125" style="2" bestFit="1" customWidth="1"/>
    <col min="6" max="6" width="20.33203125" style="2" customWidth="1"/>
    <col min="7" max="7" width="16.44140625" style="2" bestFit="1" customWidth="1"/>
    <col min="8" max="8" width="13.21875" style="2" customWidth="1"/>
    <col min="9" max="9" width="16" style="2" customWidth="1"/>
    <col min="10" max="10" width="18" style="2" bestFit="1" customWidth="1"/>
    <col min="11" max="11" width="20.21875" style="2" customWidth="1"/>
    <col min="12" max="12" width="22.33203125" style="2" bestFit="1" customWidth="1"/>
    <col min="13" max="13" width="22.33203125" style="2" customWidth="1"/>
    <col min="14" max="14" width="10.77734375" style="2" bestFit="1" customWidth="1"/>
    <col min="15" max="16" width="8.88671875" style="2"/>
    <col min="17" max="17" width="18" style="2" bestFit="1" customWidth="1"/>
    <col min="18" max="20" width="8.88671875" style="2"/>
    <col min="21" max="21" width="8.88671875" style="2" hidden="1" customWidth="1"/>
    <col min="22" max="16384" width="8.88671875" style="2"/>
  </cols>
  <sheetData>
    <row r="1" spans="1:21" ht="40.950000000000003" customHeight="1">
      <c r="C1" s="27" t="s">
        <v>6</v>
      </c>
      <c r="D1" s="27"/>
      <c r="E1" s="27"/>
      <c r="F1" s="27"/>
      <c r="G1" s="27"/>
      <c r="H1" s="27"/>
      <c r="I1" s="27"/>
      <c r="P1" s="3" t="s">
        <v>3</v>
      </c>
      <c r="Q1" s="4"/>
    </row>
    <row r="2" spans="1:21" ht="33" customHeight="1" thickBot="1">
      <c r="P2" s="5"/>
      <c r="Q2" s="6"/>
      <c r="U2" s="2" t="s">
        <v>24</v>
      </c>
    </row>
    <row r="3" spans="1:21" ht="30.6" customHeight="1">
      <c r="A3" s="28" t="s">
        <v>7</v>
      </c>
      <c r="B3" s="29"/>
      <c r="C3" s="32" t="s">
        <v>33</v>
      </c>
      <c r="D3" s="32"/>
      <c r="E3" s="32"/>
      <c r="F3" s="32"/>
      <c r="G3" s="32"/>
      <c r="H3" s="32"/>
      <c r="I3" s="33"/>
      <c r="P3" s="5" t="s">
        <v>0</v>
      </c>
      <c r="Q3" s="6" t="s">
        <v>1</v>
      </c>
      <c r="U3" s="2" t="s">
        <v>25</v>
      </c>
    </row>
    <row r="4" spans="1:21" ht="30" customHeight="1" thickBot="1">
      <c r="A4" s="30" t="s">
        <v>21</v>
      </c>
      <c r="B4" s="31"/>
      <c r="C4" s="34"/>
      <c r="D4" s="34"/>
      <c r="E4" s="34"/>
      <c r="F4" s="34"/>
      <c r="G4" s="34"/>
      <c r="H4" s="34"/>
      <c r="I4" s="35"/>
      <c r="P4" s="5" t="s">
        <v>4</v>
      </c>
      <c r="Q4" s="7" t="s">
        <v>5</v>
      </c>
      <c r="U4" s="2" t="s">
        <v>26</v>
      </c>
    </row>
    <row r="5" spans="1:21" ht="16.2" thickBot="1">
      <c r="A5" s="1"/>
      <c r="B5" s="8"/>
      <c r="C5" s="8"/>
      <c r="D5" s="8"/>
      <c r="E5" s="8"/>
      <c r="F5" s="8"/>
      <c r="G5" s="8"/>
      <c r="H5" s="8"/>
      <c r="I5" s="8"/>
      <c r="P5" s="9"/>
      <c r="Q5" s="10" t="s">
        <v>2</v>
      </c>
      <c r="U5" s="2" t="s">
        <v>27</v>
      </c>
    </row>
    <row r="6" spans="1:21" ht="34.950000000000003" customHeight="1">
      <c r="A6" s="26"/>
      <c r="B6" s="26"/>
      <c r="C6" s="26"/>
      <c r="D6" s="26"/>
      <c r="E6" s="26"/>
      <c r="F6" s="26"/>
      <c r="G6" s="26"/>
      <c r="H6" s="26"/>
      <c r="I6" s="26"/>
      <c r="U6" s="2" t="s">
        <v>28</v>
      </c>
    </row>
    <row r="7" spans="1:21" ht="46.8">
      <c r="A7" s="11" t="s">
        <v>8</v>
      </c>
      <c r="B7" s="11" t="s">
        <v>9</v>
      </c>
      <c r="C7" s="11" t="s">
        <v>10</v>
      </c>
      <c r="D7" s="11" t="s">
        <v>11</v>
      </c>
      <c r="E7" s="11" t="s">
        <v>12</v>
      </c>
      <c r="F7" s="12" t="s">
        <v>13</v>
      </c>
      <c r="G7" s="11" t="s">
        <v>14</v>
      </c>
      <c r="H7" s="11" t="s">
        <v>15</v>
      </c>
      <c r="I7" s="11" t="s">
        <v>16</v>
      </c>
      <c r="J7" s="11" t="s">
        <v>17</v>
      </c>
      <c r="K7" s="11" t="s">
        <v>23</v>
      </c>
      <c r="L7" s="11" t="s">
        <v>18</v>
      </c>
      <c r="M7" s="11" t="s">
        <v>22</v>
      </c>
      <c r="N7" s="11" t="s">
        <v>19</v>
      </c>
      <c r="U7" s="2" t="s">
        <v>29</v>
      </c>
    </row>
    <row r="8" spans="1:21">
      <c r="A8" s="17">
        <v>1</v>
      </c>
      <c r="B8" s="18" t="s">
        <v>31</v>
      </c>
      <c r="C8" s="18" t="s">
        <v>32</v>
      </c>
      <c r="D8" s="18"/>
      <c r="E8" s="18"/>
      <c r="F8" s="19"/>
      <c r="G8" s="17">
        <v>10</v>
      </c>
      <c r="H8" s="20">
        <v>450000</v>
      </c>
      <c r="I8" s="21">
        <f>IF(G8*H8=0,"",G8*H8)</f>
        <v>4500000</v>
      </c>
      <c r="J8" s="18"/>
      <c r="K8" s="36" t="s">
        <v>35</v>
      </c>
      <c r="L8" s="36">
        <v>2300852009</v>
      </c>
      <c r="M8" s="22" t="s">
        <v>28</v>
      </c>
      <c r="N8" s="22"/>
      <c r="U8" s="2" t="s">
        <v>30</v>
      </c>
    </row>
    <row r="9" spans="1:21">
      <c r="A9" s="17">
        <v>2</v>
      </c>
      <c r="B9" s="23" t="s">
        <v>34</v>
      </c>
      <c r="C9" s="18" t="s">
        <v>34</v>
      </c>
      <c r="D9" s="18"/>
      <c r="E9" s="18"/>
      <c r="F9" s="19"/>
      <c r="G9" s="17">
        <v>15</v>
      </c>
      <c r="H9" s="20">
        <v>1036000</v>
      </c>
      <c r="I9" s="21">
        <f t="shared" ref="I9:I17" si="0">IF(G9*H9=0,"",G9*H9)</f>
        <v>15540000</v>
      </c>
      <c r="J9" s="18"/>
      <c r="K9" s="36" t="s">
        <v>35</v>
      </c>
      <c r="L9" s="36">
        <v>2300852009</v>
      </c>
      <c r="M9" s="22" t="s">
        <v>28</v>
      </c>
      <c r="N9" s="22"/>
    </row>
    <row r="10" spans="1:21">
      <c r="A10" s="17"/>
      <c r="B10" s="18"/>
      <c r="C10" s="18"/>
      <c r="D10" s="18"/>
      <c r="E10" s="18"/>
      <c r="F10" s="19"/>
      <c r="G10" s="17"/>
      <c r="H10" s="20"/>
      <c r="I10" s="21" t="str">
        <f t="shared" si="0"/>
        <v/>
      </c>
      <c r="J10" s="18"/>
      <c r="K10" s="18"/>
      <c r="L10" s="22"/>
      <c r="M10" s="22"/>
      <c r="N10" s="22"/>
    </row>
    <row r="11" spans="1:21">
      <c r="A11" s="17"/>
      <c r="B11" s="18"/>
      <c r="C11" s="18"/>
      <c r="D11" s="18"/>
      <c r="E11" s="18"/>
      <c r="F11" s="19"/>
      <c r="G11" s="17"/>
      <c r="H11" s="20"/>
      <c r="I11" s="21" t="str">
        <f t="shared" si="0"/>
        <v/>
      </c>
      <c r="J11" s="18"/>
      <c r="K11" s="18"/>
      <c r="L11" s="22"/>
      <c r="M11" s="22"/>
      <c r="N11" s="22"/>
    </row>
    <row r="12" spans="1:21">
      <c r="A12" s="17"/>
      <c r="B12" s="18"/>
      <c r="C12" s="18"/>
      <c r="D12" s="18"/>
      <c r="E12" s="18"/>
      <c r="F12" s="19"/>
      <c r="G12" s="17"/>
      <c r="H12" s="20"/>
      <c r="I12" s="21" t="str">
        <f t="shared" si="0"/>
        <v/>
      </c>
      <c r="J12" s="18"/>
      <c r="K12" s="18"/>
      <c r="L12" s="22"/>
      <c r="M12" s="22"/>
      <c r="N12" s="22"/>
    </row>
    <row r="13" spans="1:21">
      <c r="A13" s="17"/>
      <c r="B13" s="18"/>
      <c r="C13" s="18"/>
      <c r="D13" s="18"/>
      <c r="E13" s="18"/>
      <c r="F13" s="19"/>
      <c r="G13" s="17"/>
      <c r="H13" s="20"/>
      <c r="I13" s="21" t="str">
        <f t="shared" si="0"/>
        <v/>
      </c>
      <c r="J13" s="18"/>
      <c r="K13" s="18"/>
      <c r="L13" s="22"/>
      <c r="M13" s="22"/>
      <c r="N13" s="22"/>
    </row>
    <row r="14" spans="1:21">
      <c r="A14" s="17"/>
      <c r="B14" s="18"/>
      <c r="C14" s="18"/>
      <c r="D14" s="18"/>
      <c r="E14" s="18"/>
      <c r="F14" s="19"/>
      <c r="G14" s="17"/>
      <c r="H14" s="20"/>
      <c r="I14" s="21" t="str">
        <f t="shared" si="0"/>
        <v/>
      </c>
      <c r="J14" s="18"/>
      <c r="K14" s="18"/>
      <c r="L14" s="22"/>
      <c r="M14" s="22"/>
      <c r="N14" s="22"/>
    </row>
    <row r="15" spans="1:21">
      <c r="A15" s="17"/>
      <c r="B15" s="18"/>
      <c r="C15" s="18"/>
      <c r="D15" s="18"/>
      <c r="E15" s="18"/>
      <c r="F15" s="19"/>
      <c r="G15" s="17"/>
      <c r="H15" s="20"/>
      <c r="I15" s="21" t="str">
        <f t="shared" si="0"/>
        <v/>
      </c>
      <c r="J15" s="18"/>
      <c r="K15" s="18"/>
      <c r="L15" s="22"/>
      <c r="M15" s="22"/>
      <c r="N15" s="22"/>
    </row>
    <row r="16" spans="1:21">
      <c r="A16" s="17"/>
      <c r="B16" s="18"/>
      <c r="C16" s="18"/>
      <c r="D16" s="18"/>
      <c r="E16" s="18"/>
      <c r="F16" s="19"/>
      <c r="G16" s="17"/>
      <c r="H16" s="20"/>
      <c r="I16" s="21" t="str">
        <f t="shared" si="0"/>
        <v/>
      </c>
      <c r="J16" s="18"/>
      <c r="K16" s="18"/>
      <c r="L16" s="22"/>
      <c r="M16" s="22"/>
      <c r="N16" s="22"/>
    </row>
    <row r="17" spans="1:14">
      <c r="A17" s="17"/>
      <c r="B17" s="18"/>
      <c r="C17" s="18"/>
      <c r="D17" s="18"/>
      <c r="E17" s="18"/>
      <c r="F17" s="19"/>
      <c r="G17" s="17"/>
      <c r="H17" s="20"/>
      <c r="I17" s="21" t="str">
        <f t="shared" si="0"/>
        <v/>
      </c>
      <c r="J17" s="18"/>
      <c r="K17" s="18"/>
      <c r="L17" s="22"/>
      <c r="M17" s="22"/>
      <c r="N17" s="22"/>
    </row>
    <row r="18" spans="1:14" ht="41.55" customHeight="1">
      <c r="A18" s="24" t="s">
        <v>20</v>
      </c>
      <c r="B18" s="24"/>
      <c r="C18" s="24"/>
      <c r="D18" s="24"/>
      <c r="E18" s="24"/>
      <c r="F18" s="24"/>
      <c r="G18" s="13">
        <f>SUM(G8:G17)</f>
        <v>25</v>
      </c>
      <c r="H18" s="25">
        <f>SUM(I8:I17)</f>
        <v>20040000</v>
      </c>
      <c r="I18" s="25"/>
      <c r="J18" s="14"/>
      <c r="K18" s="15"/>
      <c r="L18" s="16"/>
      <c r="M18" s="16"/>
      <c r="N18" s="16"/>
    </row>
  </sheetData>
  <mergeCells count="8">
    <mergeCell ref="A18:F18"/>
    <mergeCell ref="H18:I18"/>
    <mergeCell ref="A6:I6"/>
    <mergeCell ref="C1:I1"/>
    <mergeCell ref="A3:B3"/>
    <mergeCell ref="A4:B4"/>
    <mergeCell ref="C3:I3"/>
    <mergeCell ref="C4:I4"/>
  </mergeCells>
  <phoneticPr fontId="96" type="noConversion"/>
  <dataValidations count="1">
    <dataValidation type="list" allowBlank="1" showInputMessage="1" showErrorMessage="1" sqref="M8:M65544" xr:uid="{44E3A4C7-08A3-4678-A05D-ECE29E0F8BE1}">
      <formula1>$U$2:$U$8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b42340-9f47-4abe-ab4a-c8e3965ecbee">
      <Terms xmlns="http://schemas.microsoft.com/office/infopath/2007/PartnerControls"/>
    </lcf76f155ced4ddcb4097134ff3c332f>
    <TaxCatchAll xmlns="d65367fa-3864-4700-b814-968b53b914f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F5BE324900F4FAE0D018AC665F8C9" ma:contentTypeVersion="18" ma:contentTypeDescription="Create a new document." ma:contentTypeScope="" ma:versionID="3587ddfaaa67aa145fcf05c2e5651a09">
  <xsd:schema xmlns:xsd="http://www.w3.org/2001/XMLSchema" xmlns:xs="http://www.w3.org/2001/XMLSchema" xmlns:p="http://schemas.microsoft.com/office/2006/metadata/properties" xmlns:ns2="4a5dfd1c-66a9-42f7-bd6b-4950e3267a55" xmlns:ns3="4bb42340-9f47-4abe-ab4a-c8e3965ecbee" xmlns:ns4="d65367fa-3864-4700-b814-968b53b914fb" targetNamespace="http://schemas.microsoft.com/office/2006/metadata/properties" ma:root="true" ma:fieldsID="59adb3299f754902f5351c25596ec93d" ns2:_="" ns3:_="" ns4:_="">
    <xsd:import namespace="4a5dfd1c-66a9-42f7-bd6b-4950e3267a55"/>
    <xsd:import namespace="4bb42340-9f47-4abe-ab4a-c8e3965ecbee"/>
    <xsd:import namespace="d65367fa-3864-4700-b814-968b53b914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dfd1c-66a9-42f7-bd6b-4950e3267a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b42340-9f47-4abe-ab4a-c8e3965ecb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84d6b92-e0de-4346-84dd-6315c33df0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367fa-3864-4700-b814-968b53b914f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a482196-3a0c-4926-9036-5c354175ceaa}" ma:internalName="TaxCatchAll" ma:showField="CatchAllData" ma:web="d65367fa-3864-4700-b814-968b53b914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DB536A-C6F8-4D47-BBD7-EFFAD371BA15}">
  <ds:schemaRefs>
    <ds:schemaRef ds:uri="http://schemas.microsoft.com/office/2006/metadata/properties"/>
    <ds:schemaRef ds:uri="http://schemas.microsoft.com/office/infopath/2007/PartnerControls"/>
    <ds:schemaRef ds:uri="4bb42340-9f47-4abe-ab4a-c8e3965ecbee"/>
    <ds:schemaRef ds:uri="d65367fa-3864-4700-b814-968b53b914fb"/>
  </ds:schemaRefs>
</ds:datastoreItem>
</file>

<file path=customXml/itemProps2.xml><?xml version="1.0" encoding="utf-8"?>
<ds:datastoreItem xmlns:ds="http://schemas.openxmlformats.org/officeDocument/2006/customXml" ds:itemID="{34CAC5BD-9EB2-47EE-8B91-9E9C2ACE0D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dfd1c-66a9-42f7-bd6b-4950e3267a55"/>
    <ds:schemaRef ds:uri="4bb42340-9f47-4abe-ab4a-c8e3965ecbee"/>
    <ds:schemaRef ds:uri="d65367fa-3864-4700-b814-968b53b91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9F647E-0553-4F67-8537-E7D392049B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DPO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Phuong, Duong Thi Minh</dc:creator>
  <cp:lastModifiedBy>Van Thanh Duoc Do</cp:lastModifiedBy>
  <cp:lastPrinted>2017-08-04T08:51:07Z</cp:lastPrinted>
  <dcterms:created xsi:type="dcterms:W3CDTF">2016-02-02T10:25:32Z</dcterms:created>
  <dcterms:modified xsi:type="dcterms:W3CDTF">2026-06-28T18:58:56Z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0x010100023F5BE324900F4FAE0D018AC665F8C9</vt:lpwstr>
  </property>
</Properties>
</file>