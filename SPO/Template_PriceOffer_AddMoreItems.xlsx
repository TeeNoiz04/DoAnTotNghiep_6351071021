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https://storm12.sharepoint.com/sites/Intranet/Projects/Projects/MEVN.FA.WF2025/3.Development/2.PriceOffer/ImportTemplate/"/>
    </mc:Choice>
  </mc:AlternateContent>
  <xr:revisionPtr revIDLastSave="0" documentId="8_{C17C2F73-18C0-472C-AA29-6FA11BC0CE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ortData" sheetId="3" r:id="rId1"/>
    <sheet name="Sheet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3" l="1"/>
  <c r="J4" i="3"/>
  <c r="H5" i="3"/>
  <c r="K5" i="3" s="1"/>
  <c r="H4" i="3"/>
  <c r="K4" i="3" s="1"/>
</calcChain>
</file>

<file path=xl/sharedStrings.xml><?xml version="1.0" encoding="utf-8"?>
<sst xmlns="http://schemas.openxmlformats.org/spreadsheetml/2006/main" count="117" uniqueCount="105">
  <si>
    <t>Item</t>
  </si>
  <si>
    <t>Price</t>
  </si>
  <si>
    <t>Competitor</t>
  </si>
  <si>
    <t>No</t>
  </si>
  <si>
    <t>Material code (*)</t>
  </si>
  <si>
    <t>Model Name (*)</t>
  </si>
  <si>
    <t>Qty (*)</t>
  </si>
  <si>
    <t>Standard Amount
(VND)</t>
  </si>
  <si>
    <t>Requested amount
(VND)</t>
  </si>
  <si>
    <t>Requested Discount ratio</t>
  </si>
  <si>
    <t>Competitor
Brand</t>
  </si>
  <si>
    <t>Competitor
Model</t>
  </si>
  <si>
    <t>Competitor
price</t>
  </si>
  <si>
    <t>Material type</t>
  </si>
  <si>
    <t>Project type</t>
  </si>
  <si>
    <t>E/U industry</t>
  </si>
  <si>
    <t>E/U Nationality</t>
  </si>
  <si>
    <t>Customer type</t>
  </si>
  <si>
    <t xml:space="preserve">Checked </t>
  </si>
  <si>
    <t>Customer role</t>
  </si>
  <si>
    <t>Sales channel</t>
  </si>
  <si>
    <t>Panel Builder</t>
  </si>
  <si>
    <t>FA</t>
  </si>
  <si>
    <t>LVS</t>
  </si>
  <si>
    <t>Trading</t>
  </si>
  <si>
    <t>Channel 1</t>
  </si>
  <si>
    <t>FA-Energy Saving Solution</t>
  </si>
  <si>
    <t>Automotive</t>
  </si>
  <si>
    <t>Japan</t>
  </si>
  <si>
    <t>M&amp;E contractor</t>
  </si>
  <si>
    <t>Energy Saving Solution</t>
  </si>
  <si>
    <t>Building</t>
  </si>
  <si>
    <t>Yes</t>
  </si>
  <si>
    <t>Panel builder</t>
  </si>
  <si>
    <t>Channel 2</t>
  </si>
  <si>
    <t>FA-Scada</t>
  </si>
  <si>
    <t>Electrical/Electronic/Precision</t>
  </si>
  <si>
    <t>Korea</t>
  </si>
  <si>
    <t>Main contractor</t>
  </si>
  <si>
    <t>Scada</t>
  </si>
  <si>
    <t>Factory</t>
  </si>
  <si>
    <t>ME contractor</t>
  </si>
  <si>
    <t>Channel 3</t>
  </si>
  <si>
    <t>FA-Robot project</t>
  </si>
  <si>
    <t>Electronics part</t>
  </si>
  <si>
    <t>Vietnam</t>
  </si>
  <si>
    <t>SI/OEM</t>
  </si>
  <si>
    <t>Robot project</t>
  </si>
  <si>
    <t>EVN</t>
  </si>
  <si>
    <t>Channel 4</t>
  </si>
  <si>
    <t>FA-Changing from competitors</t>
  </si>
  <si>
    <t>F&amp;B/ Pharmaceutical</t>
  </si>
  <si>
    <t>China/ Taiwan</t>
  </si>
  <si>
    <t>Investor/ End-user</t>
  </si>
  <si>
    <t>Changing from competitors</t>
  </si>
  <si>
    <t>Solar</t>
  </si>
  <si>
    <t>Channel 5</t>
  </si>
  <si>
    <t>FA-E-factory &amp; IoT</t>
  </si>
  <si>
    <t>Infrastructure</t>
  </si>
  <si>
    <t>Western (Europe, US, Canada…)</t>
  </si>
  <si>
    <t>E-factory &amp; IoT</t>
  </si>
  <si>
    <t>End-user</t>
  </si>
  <si>
    <t>Channel 6</t>
  </si>
  <si>
    <t>FA-Others</t>
  </si>
  <si>
    <t>Machinery/ General Equipments</t>
  </si>
  <si>
    <t>Others</t>
  </si>
  <si>
    <t>Distributor</t>
  </si>
  <si>
    <t>Channel 7</t>
  </si>
  <si>
    <t>LVS-Building</t>
  </si>
  <si>
    <t>Logistics</t>
  </si>
  <si>
    <t>Channel 8</t>
  </si>
  <si>
    <t>LVS-Factory</t>
  </si>
  <si>
    <t>Semiconductors/ Liquid Crystal/ Batteries</t>
  </si>
  <si>
    <t>Channel 9</t>
  </si>
  <si>
    <t>LVS-EVN</t>
  </si>
  <si>
    <t>Steel/Metal/Material/Chemistry/Mining</t>
  </si>
  <si>
    <t>LVS-Solar</t>
  </si>
  <si>
    <t>Switchboard Manufacturer</t>
  </si>
  <si>
    <t>LVS-Infrastructure</t>
  </si>
  <si>
    <t>Textile/ Garment</t>
  </si>
  <si>
    <t>LVS-EMS</t>
  </si>
  <si>
    <t>Water Treatment</t>
  </si>
  <si>
    <t>LVS-Others</t>
  </si>
  <si>
    <t>Power Electric</t>
  </si>
  <si>
    <t>Building/ Construction</t>
  </si>
  <si>
    <t>Engineering/SI</t>
  </si>
  <si>
    <t>Spec 1</t>
  </si>
  <si>
    <t>Spec 2</t>
  </si>
  <si>
    <t>MaterialCode1</t>
  </si>
  <si>
    <t>Model Name 1</t>
  </si>
  <si>
    <t>MaterialCode2</t>
  </si>
  <si>
    <t>Model Name 2</t>
  </si>
  <si>
    <t>PP</t>
  </si>
  <si>
    <t>DS</t>
  </si>
  <si>
    <t>AP</t>
  </si>
  <si>
    <t>SPO Type</t>
  </si>
  <si>
    <t>(**)</t>
  </si>
  <si>
    <t>(***)</t>
  </si>
  <si>
    <t>Required</t>
  </si>
  <si>
    <t>Not required</t>
  </si>
  <si>
    <t>Standard Price to Dist
Unit price (VND) (**)</t>
  </si>
  <si>
    <t>Price to customer
(VND) (**)</t>
  </si>
  <si>
    <t>MEVN Offer
Unit price (VND) (***)</t>
  </si>
  <si>
    <t>Dist requested price
Unit price (VND) (***)</t>
  </si>
  <si>
    <r>
      <rPr>
        <b/>
        <sz val="12"/>
        <color rgb="FFFF0000"/>
        <rFont val="Calibri"/>
        <family val="2"/>
        <scheme val="minor"/>
      </rPr>
      <t>Required</t>
    </r>
    <r>
      <rPr>
        <sz val="12"/>
        <color theme="1"/>
        <rFont val="Calibri"/>
        <family val="2"/>
        <scheme val="minor"/>
      </rPr>
      <t xml:space="preserve"> if "Get Price Automatically" not checked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</si>
</sst>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</numFmts>
  <fonts count="11">
    <font>
      <sz val="11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4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0C0D0E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799920651875362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indexed="64"/>
      </patternFill>
    </fill>
  </fills>
  <borders count="3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4" fillId="4" borderId="18" xfId="0" applyFont="1" applyFill="1" applyBorder="1" applyAlignment="1">
      <alignment vertical="center"/>
    </xf>
    <xf numFmtId="0" fontId="4" fillId="7" borderId="4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5" fillId="2" borderId="19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4" fillId="7" borderId="12" xfId="0" applyFont="1" applyFill="1" applyBorder="1" applyAlignment="1">
      <alignment horizontal="center" vertical="center"/>
    </xf>
    <xf numFmtId="0" fontId="5" fillId="2" borderId="20" xfId="2" applyFont="1" applyFill="1" applyBorder="1" applyAlignment="1">
      <alignment horizontal="center" vertical="center" wrapText="1"/>
    </xf>
    <xf numFmtId="165" fontId="5" fillId="8" borderId="21" xfId="1" applyNumberFormat="1" applyFont="1" applyFill="1" applyBorder="1" applyAlignment="1">
      <alignment horizontal="center" vertical="center" wrapText="1"/>
    </xf>
    <xf numFmtId="0" fontId="5" fillId="8" borderId="22" xfId="2" applyFont="1" applyFill="1" applyBorder="1" applyAlignment="1">
      <alignment horizontal="center" vertical="center" wrapText="1"/>
    </xf>
    <xf numFmtId="166" fontId="4" fillId="8" borderId="23" xfId="1" applyNumberFormat="1" applyFont="1" applyFill="1" applyBorder="1" applyAlignment="1">
      <alignment horizontal="center" vertical="center" wrapText="1"/>
    </xf>
    <xf numFmtId="0" fontId="5" fillId="8" borderId="24" xfId="2" applyFont="1" applyFill="1" applyBorder="1" applyAlignment="1">
      <alignment horizontal="center" vertical="center" wrapText="1"/>
    </xf>
    <xf numFmtId="3" fontId="5" fillId="8" borderId="1" xfId="2" applyNumberFormat="1" applyFont="1" applyFill="1" applyBorder="1" applyAlignment="1">
      <alignment horizontal="center" vertical="center" wrapText="1"/>
    </xf>
    <xf numFmtId="0" fontId="5" fillId="5" borderId="4" xfId="2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vertical="center" wrapText="1"/>
    </xf>
    <xf numFmtId="165" fontId="7" fillId="0" borderId="5" xfId="1" applyNumberFormat="1" applyFont="1" applyBorder="1" applyAlignment="1">
      <alignment vertical="center"/>
    </xf>
    <xf numFmtId="166" fontId="7" fillId="0" borderId="5" xfId="1" applyNumberFormat="1" applyFont="1" applyBorder="1" applyAlignment="1">
      <alignment vertical="center"/>
    </xf>
    <xf numFmtId="9" fontId="7" fillId="0" borderId="6" xfId="0" applyNumberFormat="1" applyFont="1" applyBorder="1" applyAlignment="1">
      <alignment vertical="center"/>
    </xf>
    <xf numFmtId="165" fontId="7" fillId="0" borderId="5" xfId="0" applyNumberFormat="1" applyFont="1" applyBorder="1" applyAlignment="1">
      <alignment vertical="center"/>
    </xf>
    <xf numFmtId="165" fontId="8" fillId="6" borderId="6" xfId="1" applyNumberFormat="1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6" fillId="3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vertical="center" wrapText="1"/>
    </xf>
    <xf numFmtId="165" fontId="7" fillId="0" borderId="6" xfId="1" applyNumberFormat="1" applyFont="1" applyBorder="1" applyAlignment="1">
      <alignment vertical="center"/>
    </xf>
    <xf numFmtId="165" fontId="8" fillId="0" borderId="6" xfId="1" applyNumberFormat="1" applyFont="1" applyBorder="1" applyAlignment="1">
      <alignment vertical="center"/>
    </xf>
    <xf numFmtId="165" fontId="7" fillId="0" borderId="6" xfId="0" applyNumberFormat="1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9" fontId="7" fillId="0" borderId="11" xfId="0" applyNumberFormat="1" applyFont="1" applyBorder="1" applyAlignment="1">
      <alignment vertical="center"/>
    </xf>
    <xf numFmtId="9" fontId="7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 vertical="center"/>
    </xf>
    <xf numFmtId="0" fontId="4" fillId="8" borderId="16" xfId="0" applyFont="1" applyFill="1" applyBorder="1" applyAlignment="1">
      <alignment horizontal="center" vertical="center"/>
    </xf>
    <xf numFmtId="0" fontId="4" fillId="8" borderId="17" xfId="0" applyFont="1" applyFill="1" applyBorder="1" applyAlignment="1">
      <alignment horizontal="center" vertical="center"/>
    </xf>
    <xf numFmtId="0" fontId="4" fillId="8" borderId="18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標準 2" xfId="2" xr:uid="{00000000-0005-0000-0000-000031000000}"/>
  </cellStyles>
  <dxfs count="7">
    <dxf>
      <font>
        <color auto="1"/>
      </font>
      <fill>
        <patternFill>
          <bgColor theme="5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>
          <bgColor rgb="FFFFCC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rgb="FFFFCC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auto="1"/>
      </font>
      <fill>
        <patternFill>
          <bgColor rgb="FFFFCC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"/>
  <sheetViews>
    <sheetView tabSelected="1" zoomScaleNormal="100" workbookViewId="0">
      <selection activeCell="L4" sqref="L4"/>
    </sheetView>
  </sheetViews>
  <sheetFormatPr defaultColWidth="9" defaultRowHeight="15.75"/>
  <cols>
    <col min="1" max="1" width="3.42578125" style="33" customWidth="1"/>
    <col min="2" max="3" width="19.7109375" style="32" customWidth="1"/>
    <col min="4" max="5" width="19.85546875" style="32" customWidth="1"/>
    <col min="6" max="6" width="13.5703125" style="32" customWidth="1"/>
    <col min="7" max="7" width="20.5703125" style="32" customWidth="1"/>
    <col min="8" max="8" width="14.28515625" style="32" customWidth="1"/>
    <col min="9" max="9" width="20.42578125" style="32" customWidth="1"/>
    <col min="10" max="10" width="16" style="32" customWidth="1"/>
    <col min="11" max="11" width="14.140625" style="35" customWidth="1"/>
    <col min="12" max="12" width="16.28515625" style="32" customWidth="1"/>
    <col min="13" max="13" width="18" style="32" customWidth="1"/>
    <col min="14" max="14" width="16" style="32" customWidth="1"/>
    <col min="15" max="15" width="15.28515625" style="32" customWidth="1"/>
    <col min="16" max="16" width="15.140625" style="32" customWidth="1"/>
    <col min="17" max="17" width="9" style="32"/>
    <col min="18" max="18" width="11" style="32" customWidth="1"/>
    <col min="19" max="20" width="27.7109375" style="32" customWidth="1"/>
    <col min="21" max="16384" width="9" style="32"/>
  </cols>
  <sheetData>
    <row r="1" spans="1:20">
      <c r="A1" s="48" t="s">
        <v>0</v>
      </c>
      <c r="B1" s="49"/>
      <c r="C1" s="49"/>
      <c r="D1" s="49"/>
      <c r="E1" s="49"/>
      <c r="F1" s="50"/>
      <c r="G1" s="42" t="s">
        <v>1</v>
      </c>
      <c r="H1" s="43"/>
      <c r="I1" s="43"/>
      <c r="J1" s="43"/>
      <c r="K1" s="43"/>
      <c r="L1" s="43"/>
      <c r="M1" s="44"/>
      <c r="N1" s="37" t="s">
        <v>2</v>
      </c>
      <c r="O1" s="38"/>
      <c r="P1" s="39"/>
      <c r="R1" s="54" t="s">
        <v>95</v>
      </c>
      <c r="S1" s="55" t="s">
        <v>96</v>
      </c>
      <c r="T1" s="56" t="s">
        <v>97</v>
      </c>
    </row>
    <row r="2" spans="1:20" ht="16.5" thickBot="1">
      <c r="A2" s="51"/>
      <c r="B2" s="52"/>
      <c r="C2" s="52"/>
      <c r="D2" s="52"/>
      <c r="E2" s="52"/>
      <c r="F2" s="53"/>
      <c r="G2" s="45"/>
      <c r="H2" s="46"/>
      <c r="I2" s="46"/>
      <c r="J2" s="46"/>
      <c r="K2" s="46"/>
      <c r="L2" s="46"/>
      <c r="M2" s="47"/>
      <c r="N2" s="40" t="s">
        <v>0</v>
      </c>
      <c r="O2" s="41"/>
      <c r="P2" s="3" t="s">
        <v>1</v>
      </c>
      <c r="R2" s="59"/>
      <c r="S2" s="60"/>
      <c r="T2" s="61"/>
    </row>
    <row r="3" spans="1:20" s="33" customFormat="1" ht="63.75" thickBot="1">
      <c r="A3" s="4" t="s">
        <v>3</v>
      </c>
      <c r="B3" s="5" t="s">
        <v>4</v>
      </c>
      <c r="C3" s="6" t="s">
        <v>5</v>
      </c>
      <c r="D3" s="7" t="s">
        <v>86</v>
      </c>
      <c r="E3" s="8" t="s">
        <v>87</v>
      </c>
      <c r="F3" s="9" t="s">
        <v>6</v>
      </c>
      <c r="G3" s="10" t="s">
        <v>100</v>
      </c>
      <c r="H3" s="11" t="s">
        <v>7</v>
      </c>
      <c r="I3" s="12" t="s">
        <v>103</v>
      </c>
      <c r="J3" s="12" t="s">
        <v>8</v>
      </c>
      <c r="K3" s="13" t="s">
        <v>9</v>
      </c>
      <c r="L3" s="13" t="s">
        <v>101</v>
      </c>
      <c r="M3" s="14" t="s">
        <v>102</v>
      </c>
      <c r="N3" s="15" t="s">
        <v>10</v>
      </c>
      <c r="O3" s="16" t="s">
        <v>11</v>
      </c>
      <c r="P3" s="17" t="s">
        <v>12</v>
      </c>
      <c r="R3" s="62" t="s">
        <v>94</v>
      </c>
      <c r="S3" s="57" t="s">
        <v>99</v>
      </c>
      <c r="T3" s="58" t="s">
        <v>104</v>
      </c>
    </row>
    <row r="4" spans="1:20">
      <c r="A4" s="18">
        <v>1</v>
      </c>
      <c r="B4" s="19" t="s">
        <v>88</v>
      </c>
      <c r="C4" s="19" t="s">
        <v>89</v>
      </c>
      <c r="D4" s="19"/>
      <c r="E4" s="19"/>
      <c r="F4" s="18">
        <v>1</v>
      </c>
      <c r="G4" s="20">
        <v>10000000</v>
      </c>
      <c r="H4" s="20">
        <f>G4*F4</f>
        <v>10000000</v>
      </c>
      <c r="I4" s="20">
        <v>9000000</v>
      </c>
      <c r="J4" s="21">
        <f>I4*F4</f>
        <v>9000000</v>
      </c>
      <c r="K4" s="22">
        <f>IF(H4&lt;&gt;"",1 - I4/G4,0)</f>
        <v>9.9999999999999978E-2</v>
      </c>
      <c r="L4" s="23">
        <v>11000000</v>
      </c>
      <c r="M4" s="24">
        <v>10500000</v>
      </c>
      <c r="N4" s="25"/>
      <c r="O4" s="25"/>
      <c r="P4" s="25"/>
      <c r="R4" s="63" t="s">
        <v>92</v>
      </c>
      <c r="S4" s="67" t="s">
        <v>98</v>
      </c>
      <c r="T4" s="68"/>
    </row>
    <row r="5" spans="1:20" ht="16.5" thickBot="1">
      <c r="A5" s="26">
        <v>2</v>
      </c>
      <c r="B5" s="27" t="s">
        <v>90</v>
      </c>
      <c r="C5" s="27" t="s">
        <v>91</v>
      </c>
      <c r="D5" s="27"/>
      <c r="E5" s="27"/>
      <c r="F5" s="26">
        <v>1</v>
      </c>
      <c r="G5" s="28">
        <v>10000000</v>
      </c>
      <c r="H5" s="20">
        <f>G5*F5</f>
        <v>10000000</v>
      </c>
      <c r="I5" s="29">
        <v>9000000</v>
      </c>
      <c r="J5" s="21">
        <f>I5*F5</f>
        <v>9000000</v>
      </c>
      <c r="K5" s="22">
        <f>IF(H5&lt;&gt;"",1 - I5/G5,0)</f>
        <v>9.9999999999999978E-2</v>
      </c>
      <c r="L5" s="30">
        <v>11000000</v>
      </c>
      <c r="M5" s="24">
        <v>10500000</v>
      </c>
      <c r="N5" s="31"/>
      <c r="O5" s="31"/>
      <c r="P5" s="31"/>
      <c r="R5" s="64" t="s">
        <v>93</v>
      </c>
      <c r="S5" s="65" t="s">
        <v>98</v>
      </c>
      <c r="T5" s="66"/>
    </row>
    <row r="6" spans="1:20">
      <c r="K6" s="34"/>
    </row>
    <row r="7" spans="1:20" ht="15.75" customHeight="1"/>
    <row r="8" spans="1:20">
      <c r="A8" s="36"/>
      <c r="B8" s="36"/>
      <c r="C8" s="36"/>
      <c r="D8" s="36"/>
      <c r="E8" s="36"/>
      <c r="F8" s="36"/>
      <c r="G8" s="36"/>
      <c r="H8" s="36"/>
      <c r="I8" s="36"/>
      <c r="J8" s="36"/>
      <c r="L8" s="36"/>
      <c r="M8" s="36"/>
      <c r="N8" s="36"/>
      <c r="O8" s="36"/>
      <c r="P8" s="36"/>
    </row>
    <row r="9" spans="1:20">
      <c r="A9" s="36"/>
    </row>
  </sheetData>
  <mergeCells count="9">
    <mergeCell ref="R1:R2"/>
    <mergeCell ref="S1:S2"/>
    <mergeCell ref="T1:T2"/>
    <mergeCell ref="S5:T5"/>
    <mergeCell ref="S4:T4"/>
    <mergeCell ref="N1:P1"/>
    <mergeCell ref="N2:O2"/>
    <mergeCell ref="G1:M2"/>
    <mergeCell ref="A1:F2"/>
  </mergeCells>
  <conditionalFormatting sqref="A4:C5">
    <cfRule type="expression" dxfId="6" priority="6">
      <formula>NOT(ISBLANK($A4))</formula>
    </cfRule>
  </conditionalFormatting>
  <conditionalFormatting sqref="A6:G90">
    <cfRule type="expression" dxfId="5" priority="7">
      <formula>NOT(ISBLANK($A6))</formula>
    </cfRule>
  </conditionalFormatting>
  <conditionalFormatting sqref="B4:C5">
    <cfRule type="expression" dxfId="4" priority="4">
      <formula>COUNTIFS($B$28:$B$1000, $B4, $C$28:$C$1000, $C4) &gt; 1</formula>
    </cfRule>
  </conditionalFormatting>
  <conditionalFormatting sqref="B6:C90">
    <cfRule type="expression" dxfId="3" priority="5">
      <formula>COUNTIFS($B$4:$B$1000, $B6, $C$4:$C$1000, $C6) &gt; 1</formula>
    </cfRule>
  </conditionalFormatting>
  <conditionalFormatting sqref="D4:G5 I4:I90 L4:L90 N4:P90">
    <cfRule type="expression" dxfId="2" priority="3">
      <formula>NOT(ISBLANK($A4))</formula>
    </cfRule>
  </conditionalFormatting>
  <conditionalFormatting sqref="J4:J5 H4:H1024 J6:K1024 K4:K1048576">
    <cfRule type="expression" dxfId="1" priority="2">
      <formula>NOT(ISBLANK($A4))</formula>
    </cfRule>
  </conditionalFormatting>
  <conditionalFormatting sqref="M4:M90">
    <cfRule type="expression" dxfId="0" priority="8">
      <formula>NOT(ISBLANK($A4))</formula>
    </cfRule>
  </conditionalFormatting>
  <pageMargins left="0.7" right="0.7" top="0.75" bottom="0.75" header="0.3" footer="0.3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U19"/>
  <sheetViews>
    <sheetView topLeftCell="F1" workbookViewId="0">
      <selection activeCell="D7" sqref="D7"/>
    </sheetView>
  </sheetViews>
  <sheetFormatPr defaultColWidth="8.85546875" defaultRowHeight="15.75"/>
  <cols>
    <col min="1" max="1" width="8.85546875" style="1"/>
    <col min="2" max="2" width="12" style="1" customWidth="1"/>
    <col min="3" max="3" width="8.85546875" style="1"/>
    <col min="4" max="4" width="27.7109375" style="1" customWidth="1"/>
    <col min="5" max="5" width="12.85546875" style="1" customWidth="1"/>
    <col min="6" max="6" width="16.7109375" style="1" customWidth="1"/>
    <col min="7" max="7" width="37.42578125" style="1" customWidth="1"/>
    <col min="8" max="9" width="8.85546875" style="1"/>
    <col min="10" max="10" width="27.140625" style="1" customWidth="1"/>
    <col min="11" max="11" width="8.85546875" style="1"/>
    <col min="12" max="12" width="17.28515625" style="1" customWidth="1"/>
    <col min="13" max="13" width="10.7109375" style="1" customWidth="1"/>
    <col min="14" max="14" width="26.42578125" style="1" customWidth="1"/>
    <col min="15" max="15" width="13.42578125" style="1" customWidth="1"/>
    <col min="16" max="16" width="13.140625" style="1" customWidth="1"/>
    <col min="17" max="18" width="8.85546875" style="1"/>
    <col min="19" max="19" width="14.42578125" style="1" customWidth="1"/>
    <col min="20" max="20" width="8.85546875" style="1"/>
    <col min="21" max="21" width="13.42578125" style="1" customWidth="1"/>
    <col min="22" max="16384" width="8.85546875" style="1"/>
  </cols>
  <sheetData>
    <row r="2" spans="2:21">
      <c r="B2" s="1" t="s">
        <v>13</v>
      </c>
      <c r="D2" s="1" t="s">
        <v>14</v>
      </c>
      <c r="G2" s="1" t="s">
        <v>15</v>
      </c>
      <c r="J2" s="1" t="s">
        <v>16</v>
      </c>
      <c r="L2" s="1" t="s">
        <v>17</v>
      </c>
      <c r="N2" s="1" t="s">
        <v>14</v>
      </c>
      <c r="Q2" s="1" t="s">
        <v>18</v>
      </c>
      <c r="S2" s="1" t="s">
        <v>19</v>
      </c>
      <c r="U2" s="1" t="s">
        <v>20</v>
      </c>
    </row>
    <row r="3" spans="2:21">
      <c r="L3" s="1" t="s">
        <v>21</v>
      </c>
      <c r="N3" s="1" t="s">
        <v>22</v>
      </c>
      <c r="O3" s="1" t="s">
        <v>23</v>
      </c>
      <c r="Q3" s="2"/>
      <c r="S3" s="1" t="s">
        <v>24</v>
      </c>
      <c r="U3" s="1" t="s">
        <v>25</v>
      </c>
    </row>
    <row r="4" spans="2:21">
      <c r="B4" s="1" t="s">
        <v>22</v>
      </c>
      <c r="D4" s="1" t="s">
        <v>26</v>
      </c>
      <c r="G4" s="1" t="s">
        <v>27</v>
      </c>
      <c r="J4" s="1" t="s">
        <v>28</v>
      </c>
      <c r="L4" s="1" t="s">
        <v>29</v>
      </c>
      <c r="N4" s="1" t="s">
        <v>30</v>
      </c>
      <c r="O4" s="1" t="s">
        <v>31</v>
      </c>
      <c r="Q4" s="2" t="s">
        <v>32</v>
      </c>
      <c r="S4" s="1" t="s">
        <v>33</v>
      </c>
      <c r="U4" s="1" t="s">
        <v>34</v>
      </c>
    </row>
    <row r="5" spans="2:21">
      <c r="B5" s="1" t="s">
        <v>23</v>
      </c>
      <c r="D5" s="1" t="s">
        <v>35</v>
      </c>
      <c r="G5" s="1" t="s">
        <v>36</v>
      </c>
      <c r="J5" s="1" t="s">
        <v>37</v>
      </c>
      <c r="L5" s="1" t="s">
        <v>38</v>
      </c>
      <c r="N5" s="1" t="s">
        <v>39</v>
      </c>
      <c r="O5" s="1" t="s">
        <v>40</v>
      </c>
      <c r="S5" s="1" t="s">
        <v>41</v>
      </c>
      <c r="U5" s="1" t="s">
        <v>42</v>
      </c>
    </row>
    <row r="6" spans="2:21">
      <c r="D6" s="1" t="s">
        <v>43</v>
      </c>
      <c r="G6" s="1" t="s">
        <v>44</v>
      </c>
      <c r="J6" s="1" t="s">
        <v>45</v>
      </c>
      <c r="L6" s="1" t="s">
        <v>46</v>
      </c>
      <c r="N6" s="1" t="s">
        <v>47</v>
      </c>
      <c r="O6" s="1" t="s">
        <v>48</v>
      </c>
      <c r="S6" s="1" t="s">
        <v>38</v>
      </c>
      <c r="U6" s="1" t="s">
        <v>49</v>
      </c>
    </row>
    <row r="7" spans="2:21">
      <c r="D7" s="1" t="s">
        <v>50</v>
      </c>
      <c r="G7" s="1" t="s">
        <v>51</v>
      </c>
      <c r="J7" s="1" t="s">
        <v>52</v>
      </c>
      <c r="L7" s="1" t="s">
        <v>53</v>
      </c>
      <c r="N7" s="1" t="s">
        <v>54</v>
      </c>
      <c r="O7" s="1" t="s">
        <v>55</v>
      </c>
      <c r="S7" s="1" t="s">
        <v>46</v>
      </c>
      <c r="U7" s="1" t="s">
        <v>56</v>
      </c>
    </row>
    <row r="8" spans="2:21">
      <c r="D8" s="1" t="s">
        <v>57</v>
      </c>
      <c r="G8" s="1" t="s">
        <v>58</v>
      </c>
      <c r="J8" s="1" t="s">
        <v>59</v>
      </c>
      <c r="L8" s="1" t="s">
        <v>24</v>
      </c>
      <c r="N8" s="1" t="s">
        <v>60</v>
      </c>
      <c r="O8" s="1" t="s">
        <v>58</v>
      </c>
      <c r="S8" s="1" t="s">
        <v>61</v>
      </c>
      <c r="U8" s="1" t="s">
        <v>62</v>
      </c>
    </row>
    <row r="9" spans="2:21">
      <c r="D9" s="1" t="s">
        <v>63</v>
      </c>
      <c r="G9" s="1" t="s">
        <v>64</v>
      </c>
      <c r="J9" s="1" t="s">
        <v>65</v>
      </c>
      <c r="L9" s="1" t="s">
        <v>66</v>
      </c>
      <c r="N9" s="1" t="s">
        <v>65</v>
      </c>
      <c r="U9" s="1" t="s">
        <v>67</v>
      </c>
    </row>
    <row r="10" spans="2:21">
      <c r="D10" s="1" t="s">
        <v>68</v>
      </c>
      <c r="G10" s="1" t="s">
        <v>69</v>
      </c>
      <c r="U10" s="1" t="s">
        <v>70</v>
      </c>
    </row>
    <row r="11" spans="2:21">
      <c r="D11" s="1" t="s">
        <v>71</v>
      </c>
      <c r="G11" s="1" t="s">
        <v>72</v>
      </c>
      <c r="U11" s="1" t="s">
        <v>73</v>
      </c>
    </row>
    <row r="12" spans="2:21">
      <c r="D12" s="1" t="s">
        <v>74</v>
      </c>
      <c r="G12" s="1" t="s">
        <v>75</v>
      </c>
    </row>
    <row r="13" spans="2:21">
      <c r="D13" s="1" t="s">
        <v>76</v>
      </c>
      <c r="G13" s="1" t="s">
        <v>77</v>
      </c>
    </row>
    <row r="14" spans="2:21">
      <c r="D14" s="1" t="s">
        <v>78</v>
      </c>
      <c r="G14" s="1" t="s">
        <v>79</v>
      </c>
    </row>
    <row r="15" spans="2:21">
      <c r="D15" s="1" t="s">
        <v>80</v>
      </c>
      <c r="G15" s="1" t="s">
        <v>81</v>
      </c>
    </row>
    <row r="16" spans="2:21">
      <c r="D16" s="1" t="s">
        <v>82</v>
      </c>
      <c r="G16" s="1" t="s">
        <v>83</v>
      </c>
    </row>
    <row r="17" spans="7:7">
      <c r="G17" s="1" t="s">
        <v>84</v>
      </c>
    </row>
    <row r="18" spans="7:7">
      <c r="G18" s="1" t="s">
        <v>85</v>
      </c>
    </row>
    <row r="19" spans="7:7">
      <c r="G19" s="1" t="s">
        <v>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3F5BE324900F4FAE0D018AC665F8C9" ma:contentTypeVersion="18" ma:contentTypeDescription="Create a new document." ma:contentTypeScope="" ma:versionID="3587ddfaaa67aa145fcf05c2e5651a09">
  <xsd:schema xmlns:xsd="http://www.w3.org/2001/XMLSchema" xmlns:xs="http://www.w3.org/2001/XMLSchema" xmlns:p="http://schemas.microsoft.com/office/2006/metadata/properties" xmlns:ns2="4a5dfd1c-66a9-42f7-bd6b-4950e3267a55" xmlns:ns3="4bb42340-9f47-4abe-ab4a-c8e3965ecbee" xmlns:ns4="d65367fa-3864-4700-b814-968b53b914fb" targetNamespace="http://schemas.microsoft.com/office/2006/metadata/properties" ma:root="true" ma:fieldsID="59adb3299f754902f5351c25596ec93d" ns2:_="" ns3:_="" ns4:_="">
    <xsd:import namespace="4a5dfd1c-66a9-42f7-bd6b-4950e3267a55"/>
    <xsd:import namespace="4bb42340-9f47-4abe-ab4a-c8e3965ecbee"/>
    <xsd:import namespace="d65367fa-3864-4700-b814-968b53b914f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AutoKeyPoints" minOccurs="0"/>
                <xsd:element ref="ns3:MediaServiceKeyPoints" minOccurs="0"/>
                <xsd:element ref="ns3:lcf76f155ced4ddcb4097134ff3c332f" minOccurs="0"/>
                <xsd:element ref="ns4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5dfd1c-66a9-42f7-bd6b-4950e3267a5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42340-9f47-4abe-ab4a-c8e3965ecb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d84d6b92-e0de-4346-84dd-6315c33df03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5367fa-3864-4700-b814-968b53b914f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9a482196-3a0c-4926-9036-5c354175ceaa}" ma:internalName="TaxCatchAll" ma:showField="CatchAllData" ma:web="d65367fa-3864-4700-b814-968b53b914f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bb42340-9f47-4abe-ab4a-c8e3965ecbee">
      <Terms xmlns="http://schemas.microsoft.com/office/infopath/2007/PartnerControls"/>
    </lcf76f155ced4ddcb4097134ff3c332f>
    <TaxCatchAll xmlns="d65367fa-3864-4700-b814-968b53b914fb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5A1915-315E-4CCE-ADF1-82C1044D6B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5dfd1c-66a9-42f7-bd6b-4950e3267a55"/>
    <ds:schemaRef ds:uri="4bb42340-9f47-4abe-ab4a-c8e3965ecbee"/>
    <ds:schemaRef ds:uri="d65367fa-3864-4700-b814-968b53b914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5152C3-2249-45A2-A698-3B58EBCCEF65}">
  <ds:schemaRefs>
    <ds:schemaRef ds:uri="http://schemas.microsoft.com/office/2006/metadata/properties"/>
    <ds:schemaRef ds:uri="http://schemas.microsoft.com/office/infopath/2007/PartnerControls"/>
    <ds:schemaRef ds:uri="4bb42340-9f47-4abe-ab4a-c8e3965ecbee"/>
    <ds:schemaRef ds:uri="d65367fa-3864-4700-b814-968b53b914fb"/>
  </ds:schemaRefs>
</ds:datastoreItem>
</file>

<file path=customXml/itemProps3.xml><?xml version="1.0" encoding="utf-8"?>
<ds:datastoreItem xmlns:ds="http://schemas.openxmlformats.org/officeDocument/2006/customXml" ds:itemID="{EEBE1B86-61B2-4505-94EA-FFA308DABF6B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2EBABEB-73FE-4687-AAA5-A862DD9974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ImportData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Tiep Nguyen</dc:creator>
  <cp:keywords/>
  <dc:description/>
  <cp:lastModifiedBy>Kien Nguyen</cp:lastModifiedBy>
  <cp:revision/>
  <dcterms:created xsi:type="dcterms:W3CDTF">2020-03-24T03:46:00Z</dcterms:created>
  <dcterms:modified xsi:type="dcterms:W3CDTF">2025-10-09T03:43:52Z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AC8734726D0844B999BFA769C6CA60B0_12</vt:lpwstr>
  </property>
  <property fmtid="{D5CDD505-2E9C-101B-9397-08002B2CF9AE}" pid="3" name="KSOProductBuildVer">
    <vt:lpwstr>1033-12.2.0.21179</vt:lpwstr>
  </property>
  <property fmtid="{D5CDD505-2E9C-101B-9397-08002B2CF9AE}" pid="4" name="ContentTypeId">
    <vt:lpwstr>0x010100023F5BE324900F4FAE0D018AC665F8C9</vt:lpwstr>
  </property>
  <property fmtid="{D5CDD505-2E9C-101B-9397-08002B2CF9AE}" pid="5" name="MediaServiceImageTags">
    <vt:lpwstr/>
  </property>
</Properties>
</file>