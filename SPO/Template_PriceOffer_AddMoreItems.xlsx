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UTC2\DoAnTotNghiep\SPO\"/>
    </mc:Choice>
  </mc:AlternateContent>
  <xr:revisionPtr revIDLastSave="0" documentId="13_ncr:1_{68247B84-8B0E-49AA-805E-1429D4034A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portData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J4" i="3"/>
  <c r="H5" i="3"/>
  <c r="K5" i="3" s="1"/>
  <c r="H4" i="3"/>
  <c r="K4" i="3" s="1"/>
</calcChain>
</file>

<file path=xl/sharedStrings.xml><?xml version="1.0" encoding="utf-8"?>
<sst xmlns="http://schemas.openxmlformats.org/spreadsheetml/2006/main" count="25" uniqueCount="23">
  <si>
    <t>Item</t>
  </si>
  <si>
    <t>Price</t>
  </si>
  <si>
    <t>Competitor</t>
  </si>
  <si>
    <t>No</t>
  </si>
  <si>
    <t>Material code (*)</t>
  </si>
  <si>
    <t>Model Name (*)</t>
  </si>
  <si>
    <t>Qty (*)</t>
  </si>
  <si>
    <t>Standard Amount
(VND)</t>
  </si>
  <si>
    <t>Requested amount
(VND)</t>
  </si>
  <si>
    <t>Requested Discount ratio</t>
  </si>
  <si>
    <t>Competitor
Brand</t>
  </si>
  <si>
    <t>Competitor
Model</t>
  </si>
  <si>
    <t>Competitor
price</t>
  </si>
  <si>
    <t>Spec 1</t>
  </si>
  <si>
    <t>Spec 2</t>
  </si>
  <si>
    <t>Standard Price to Dist
Unit price (VND) (**)</t>
  </si>
  <si>
    <t>Price to customer
(VND) (**)</t>
  </si>
  <si>
    <t>Dist requested price
Unit price (VND) (***)</t>
  </si>
  <si>
    <t>Sales Offer
Unit price (VND) (***)</t>
  </si>
  <si>
    <t>FAKE-MR-J4-01</t>
  </si>
  <si>
    <t>MR-J4-10A</t>
  </si>
  <si>
    <t>FR-E840-0.75K</t>
  </si>
  <si>
    <t>FAKE-FR-E840-02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</si>
</sst>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rgb="FF0C0D0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7">
    <xf numFmtId="0" fontId="0" fillId="0" borderId="0" xfId="0"/>
    <xf numFmtId="0" fontId="5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vertical="center" wrapText="1"/>
    </xf>
    <xf numFmtId="164" fontId="6" fillId="0" borderId="5" xfId="1" applyNumberFormat="1" applyFont="1" applyBorder="1" applyAlignment="1">
      <alignment vertical="center"/>
    </xf>
    <xf numFmtId="165" fontId="6" fillId="0" borderId="5" xfId="1" applyNumberFormat="1" applyFont="1" applyBorder="1" applyAlignment="1">
      <alignment vertical="center"/>
    </xf>
    <xf numFmtId="9" fontId="6" fillId="0" borderId="6" xfId="0" applyNumberFormat="1" applyFont="1" applyBorder="1" applyAlignment="1">
      <alignment vertical="center"/>
    </xf>
    <xf numFmtId="164" fontId="6" fillId="0" borderId="5" xfId="0" applyNumberFormat="1" applyFont="1" applyBorder="1" applyAlignment="1">
      <alignment vertical="center"/>
    </xf>
    <xf numFmtId="164" fontId="7" fillId="3" borderId="6" xfId="1" applyNumberFormat="1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vertical="center" wrapText="1"/>
    </xf>
    <xf numFmtId="164" fontId="6" fillId="0" borderId="6" xfId="1" applyNumberFormat="1" applyFont="1" applyBorder="1" applyAlignment="1">
      <alignment vertical="center"/>
    </xf>
    <xf numFmtId="164" fontId="7" fillId="0" borderId="6" xfId="1" applyNumberFormat="1" applyFont="1" applyBorder="1" applyAlignment="1">
      <alignment vertical="center"/>
    </xf>
    <xf numFmtId="164" fontId="6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9" fontId="6" fillId="0" borderId="11" xfId="0" applyNumberFormat="1" applyFont="1" applyBorder="1" applyAlignment="1">
      <alignment vertical="center"/>
    </xf>
    <xf numFmtId="9" fontId="6" fillId="0" borderId="0" xfId="0" applyNumberFormat="1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4" fillId="4" borderId="19" xfId="2" applyFont="1" applyFill="1" applyBorder="1" applyAlignment="1">
      <alignment horizontal="center" vertical="center" wrapText="1"/>
    </xf>
    <xf numFmtId="0" fontId="4" fillId="4" borderId="12" xfId="2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/>
    </xf>
    <xf numFmtId="0" fontId="4" fillId="4" borderId="20" xfId="2" applyFont="1" applyFill="1" applyBorder="1" applyAlignment="1">
      <alignment horizontal="center" vertical="center" wrapText="1"/>
    </xf>
    <xf numFmtId="164" fontId="4" fillId="4" borderId="21" xfId="1" applyNumberFormat="1" applyFont="1" applyFill="1" applyBorder="1" applyAlignment="1">
      <alignment horizontal="center" vertical="center" wrapText="1"/>
    </xf>
    <xf numFmtId="0" fontId="4" fillId="4" borderId="22" xfId="2" applyFont="1" applyFill="1" applyBorder="1" applyAlignment="1">
      <alignment horizontal="center" vertical="center" wrapText="1"/>
    </xf>
    <xf numFmtId="165" fontId="3" fillId="4" borderId="23" xfId="1" applyNumberFormat="1" applyFont="1" applyFill="1" applyBorder="1" applyAlignment="1">
      <alignment horizontal="center" vertical="center" wrapText="1"/>
    </xf>
    <xf numFmtId="0" fontId="4" fillId="4" borderId="24" xfId="2" applyFont="1" applyFill="1" applyBorder="1" applyAlignment="1">
      <alignment horizontal="center" vertical="center" wrapText="1"/>
    </xf>
    <xf numFmtId="3" fontId="4" fillId="4" borderId="1" xfId="2" applyNumberFormat="1" applyFont="1" applyFill="1" applyBorder="1" applyAlignment="1">
      <alignment horizontal="center" vertical="center" wrapText="1"/>
    </xf>
    <xf numFmtId="0" fontId="4" fillId="4" borderId="4" xfId="2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標準 2" xfId="2" xr:uid="{00000000-0005-0000-0000-000031000000}"/>
  </cellStyles>
  <dxfs count="8">
    <dxf>
      <font>
        <color auto="1"/>
      </font>
      <fill>
        <patternFill>
          <bgColor rgb="FFFFC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rgb="FFFFC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rgb="FFFFC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auto="1"/>
      </font>
      <fill>
        <patternFill>
          <bgColor rgb="FFFFCC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E1" zoomScaleNormal="100" workbookViewId="0">
      <selection activeCell="J7" sqref="J7"/>
    </sheetView>
  </sheetViews>
  <sheetFormatPr defaultColWidth="9" defaultRowHeight="15.6"/>
  <cols>
    <col min="1" max="1" width="3.44140625" style="16" customWidth="1"/>
    <col min="2" max="3" width="19.6640625" style="15" customWidth="1"/>
    <col min="4" max="5" width="19.88671875" style="15" customWidth="1"/>
    <col min="6" max="6" width="13.5546875" style="15" customWidth="1"/>
    <col min="7" max="7" width="20.5546875" style="15" customWidth="1"/>
    <col min="8" max="8" width="14.33203125" style="15" customWidth="1"/>
    <col min="9" max="9" width="20.44140625" style="15" customWidth="1"/>
    <col min="10" max="10" width="16" style="15" customWidth="1"/>
    <col min="11" max="11" width="14.109375" style="18" customWidth="1"/>
    <col min="12" max="12" width="16.33203125" style="15" customWidth="1"/>
    <col min="13" max="13" width="18" style="15" customWidth="1"/>
    <col min="14" max="14" width="16" style="15" customWidth="1"/>
    <col min="15" max="15" width="15.33203125" style="15" customWidth="1"/>
    <col min="16" max="16" width="15.109375" style="15" customWidth="1"/>
    <col min="17" max="17" width="9" style="15"/>
    <col min="18" max="18" width="11" style="15" customWidth="1"/>
    <col min="19" max="20" width="27.6640625" style="15" customWidth="1"/>
    <col min="21" max="16384" width="9" style="15"/>
  </cols>
  <sheetData>
    <row r="1" spans="1:16">
      <c r="A1" s="20" t="s">
        <v>0</v>
      </c>
      <c r="B1" s="21"/>
      <c r="C1" s="21"/>
      <c r="D1" s="21"/>
      <c r="E1" s="21"/>
      <c r="F1" s="22"/>
      <c r="G1" s="23" t="s">
        <v>1</v>
      </c>
      <c r="H1" s="24"/>
      <c r="I1" s="24"/>
      <c r="J1" s="24"/>
      <c r="K1" s="24"/>
      <c r="L1" s="24"/>
      <c r="M1" s="25"/>
      <c r="N1" s="23" t="s">
        <v>2</v>
      </c>
      <c r="O1" s="24"/>
      <c r="P1" s="25"/>
    </row>
    <row r="2" spans="1:16" ht="16.2" thickBot="1">
      <c r="A2" s="26"/>
      <c r="B2" s="27"/>
      <c r="C2" s="27"/>
      <c r="D2" s="27"/>
      <c r="E2" s="27"/>
      <c r="F2" s="28"/>
      <c r="G2" s="29"/>
      <c r="H2" s="30"/>
      <c r="I2" s="30"/>
      <c r="J2" s="30"/>
      <c r="K2" s="30"/>
      <c r="L2" s="30"/>
      <c r="M2" s="31"/>
      <c r="N2" s="29" t="s">
        <v>0</v>
      </c>
      <c r="O2" s="30"/>
      <c r="P2" s="32" t="s">
        <v>1</v>
      </c>
    </row>
    <row r="3" spans="1:16" s="16" customFormat="1" ht="63" thickBot="1">
      <c r="A3" s="33" t="s">
        <v>3</v>
      </c>
      <c r="B3" s="34" t="s">
        <v>4</v>
      </c>
      <c r="C3" s="35" t="s">
        <v>5</v>
      </c>
      <c r="D3" s="36" t="s">
        <v>13</v>
      </c>
      <c r="E3" s="37" t="s">
        <v>14</v>
      </c>
      <c r="F3" s="38" t="s">
        <v>6</v>
      </c>
      <c r="G3" s="39" t="s">
        <v>15</v>
      </c>
      <c r="H3" s="40" t="s">
        <v>7</v>
      </c>
      <c r="I3" s="41" t="s">
        <v>17</v>
      </c>
      <c r="J3" s="41" t="s">
        <v>8</v>
      </c>
      <c r="K3" s="42" t="s">
        <v>9</v>
      </c>
      <c r="L3" s="42" t="s">
        <v>16</v>
      </c>
      <c r="M3" s="43" t="s">
        <v>18</v>
      </c>
      <c r="N3" s="44" t="s">
        <v>10</v>
      </c>
      <c r="O3" s="45" t="s">
        <v>11</v>
      </c>
      <c r="P3" s="46" t="s">
        <v>12</v>
      </c>
    </row>
    <row r="4" spans="1:16">
      <c r="A4" s="1">
        <v>1</v>
      </c>
      <c r="B4" s="2" t="s">
        <v>19</v>
      </c>
      <c r="C4" s="2" t="s">
        <v>20</v>
      </c>
      <c r="D4" s="2"/>
      <c r="E4" s="2"/>
      <c r="F4" s="1">
        <v>1</v>
      </c>
      <c r="G4" s="3">
        <v>12500000</v>
      </c>
      <c r="H4" s="3">
        <f>G4*F4</f>
        <v>12500000</v>
      </c>
      <c r="I4" s="3">
        <v>9000000</v>
      </c>
      <c r="J4" s="4">
        <f>I4*F4</f>
        <v>9000000</v>
      </c>
      <c r="K4" s="5">
        <f>IF(H4&lt;&gt;"",1 - I4/G4,0)</f>
        <v>0.28000000000000003</v>
      </c>
      <c r="L4" s="6">
        <v>11000000</v>
      </c>
      <c r="M4" s="7">
        <v>10500000</v>
      </c>
      <c r="N4" s="8"/>
      <c r="O4" s="8"/>
      <c r="P4" s="8"/>
    </row>
    <row r="5" spans="1:16">
      <c r="A5" s="9">
        <v>2</v>
      </c>
      <c r="B5" s="10" t="s">
        <v>22</v>
      </c>
      <c r="C5" s="10" t="s">
        <v>21</v>
      </c>
      <c r="D5" s="10"/>
      <c r="E5" s="10"/>
      <c r="F5" s="9">
        <v>1</v>
      </c>
      <c r="G5" s="11">
        <v>17500000</v>
      </c>
      <c r="H5" s="3">
        <f>G5*F5</f>
        <v>17500000</v>
      </c>
      <c r="I5" s="12">
        <v>14000000</v>
      </c>
      <c r="J5" s="4">
        <f>I5*F5</f>
        <v>14000000</v>
      </c>
      <c r="K5" s="5">
        <f>IF(H5&lt;&gt;"",1 - I5/G5,0)</f>
        <v>0.19999999999999996</v>
      </c>
      <c r="L5" s="13">
        <v>16000000</v>
      </c>
      <c r="M5" s="7">
        <v>15500000</v>
      </c>
      <c r="N5" s="14"/>
      <c r="O5" s="14"/>
      <c r="P5" s="14"/>
    </row>
    <row r="6" spans="1:16">
      <c r="K6" s="17"/>
    </row>
    <row r="7" spans="1:16" ht="15.75" customHeight="1"/>
    <row r="8" spans="1:16">
      <c r="A8" s="19"/>
      <c r="B8" s="19"/>
      <c r="C8" s="19"/>
      <c r="D8" s="19"/>
      <c r="E8" s="19"/>
      <c r="F8" s="19"/>
      <c r="G8" s="19"/>
      <c r="H8" s="19"/>
      <c r="I8" s="19"/>
      <c r="J8" s="19"/>
      <c r="L8" s="19"/>
      <c r="M8" s="19"/>
      <c r="N8" s="19"/>
      <c r="O8" s="19"/>
      <c r="P8" s="19"/>
    </row>
    <row r="9" spans="1:16">
      <c r="A9" s="19"/>
    </row>
  </sheetData>
  <mergeCells count="4">
    <mergeCell ref="N1:P1"/>
    <mergeCell ref="N2:O2"/>
    <mergeCell ref="G1:M2"/>
    <mergeCell ref="A1:F2"/>
  </mergeCells>
  <conditionalFormatting sqref="A5:C5 A4 C4">
    <cfRule type="expression" dxfId="7" priority="7">
      <formula>NOT(ISBLANK($A4))</formula>
    </cfRule>
  </conditionalFormatting>
  <conditionalFormatting sqref="A6:G90">
    <cfRule type="expression" dxfId="6" priority="8">
      <formula>NOT(ISBLANK($A6))</formula>
    </cfRule>
  </conditionalFormatting>
  <conditionalFormatting sqref="B5:C5 C4">
    <cfRule type="expression" dxfId="5" priority="5">
      <formula>COUNTIFS($B$28:$B$1000, $B4, $C$28:$C$1000, $C4) &gt; 1</formula>
    </cfRule>
  </conditionalFormatting>
  <conditionalFormatting sqref="B6:C90">
    <cfRule type="expression" dxfId="4" priority="6">
      <formula>COUNTIFS($B$4:$B$1000, $B6, $C$4:$C$1000, $C6) &gt; 1</formula>
    </cfRule>
  </conditionalFormatting>
  <conditionalFormatting sqref="D4:G5 I4:I90 L4:L90 N4:P90">
    <cfRule type="expression" dxfId="3" priority="4">
      <formula>NOT(ISBLANK($A4))</formula>
    </cfRule>
  </conditionalFormatting>
  <conditionalFormatting sqref="J4:J5 H4:H1024 J6:K1024 K4:K1048576">
    <cfRule type="expression" dxfId="2" priority="3">
      <formula>NOT(ISBLANK($A4))</formula>
    </cfRule>
  </conditionalFormatting>
  <conditionalFormatting sqref="M4:M90">
    <cfRule type="expression" dxfId="1" priority="9">
      <formula>NOT(ISBLANK($A4))</formula>
    </cfRule>
  </conditionalFormatting>
  <conditionalFormatting sqref="B4">
    <cfRule type="expression" dxfId="0" priority="1">
      <formula>NOT(ISBLANK($A4))</formula>
    </cfRule>
  </conditionalFormatting>
  <pageMargins left="0.7" right="0.7" top="0.75" bottom="0.75" header="0.3" footer="0.3"/>
  <pageSetup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b42340-9f47-4abe-ab4a-c8e3965ecbee">
      <Terms xmlns="http://schemas.microsoft.com/office/infopath/2007/PartnerControls"/>
    </lcf76f155ced4ddcb4097134ff3c332f>
    <TaxCatchAll xmlns="d65367fa-3864-4700-b814-968b53b914fb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F5BE324900F4FAE0D018AC665F8C9" ma:contentTypeVersion="18" ma:contentTypeDescription="Create a new document." ma:contentTypeScope="" ma:versionID="3587ddfaaa67aa145fcf05c2e5651a09">
  <xsd:schema xmlns:xsd="http://www.w3.org/2001/XMLSchema" xmlns:xs="http://www.w3.org/2001/XMLSchema" xmlns:p="http://schemas.microsoft.com/office/2006/metadata/properties" xmlns:ns2="4a5dfd1c-66a9-42f7-bd6b-4950e3267a55" xmlns:ns3="4bb42340-9f47-4abe-ab4a-c8e3965ecbee" xmlns:ns4="d65367fa-3864-4700-b814-968b53b914fb" targetNamespace="http://schemas.microsoft.com/office/2006/metadata/properties" ma:root="true" ma:fieldsID="59adb3299f754902f5351c25596ec93d" ns2:_="" ns3:_="" ns4:_="">
    <xsd:import namespace="4a5dfd1c-66a9-42f7-bd6b-4950e3267a55"/>
    <xsd:import namespace="4bb42340-9f47-4abe-ab4a-c8e3965ecbee"/>
    <xsd:import namespace="d65367fa-3864-4700-b814-968b53b914f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4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dfd1c-66a9-42f7-bd6b-4950e3267a5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b42340-9f47-4abe-ab4a-c8e3965ecb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84d6b92-e0de-4346-84dd-6315c33df0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5367fa-3864-4700-b814-968b53b914fb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a482196-3a0c-4926-9036-5c354175ceaa}" ma:internalName="TaxCatchAll" ma:showField="CatchAllData" ma:web="d65367fa-3864-4700-b814-968b53b914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EBABEB-73FE-4687-AAA5-A862DD9974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BE1B86-61B2-4505-94EA-FFA308DABF6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915152C3-2249-45A2-A698-3B58EBCCEF65}">
  <ds:schemaRefs>
    <ds:schemaRef ds:uri="http://schemas.microsoft.com/office/2006/metadata/properties"/>
    <ds:schemaRef ds:uri="http://schemas.microsoft.com/office/infopath/2007/PartnerControls"/>
    <ds:schemaRef ds:uri="4bb42340-9f47-4abe-ab4a-c8e3965ecbee"/>
    <ds:schemaRef ds:uri="d65367fa-3864-4700-b814-968b53b914fb"/>
  </ds:schemaRefs>
</ds:datastoreItem>
</file>

<file path=customXml/itemProps4.xml><?xml version="1.0" encoding="utf-8"?>
<ds:datastoreItem xmlns:ds="http://schemas.openxmlformats.org/officeDocument/2006/customXml" ds:itemID="{205A1915-315E-4CCE-ADF1-82C1044D6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dfd1c-66a9-42f7-bd6b-4950e3267a55"/>
    <ds:schemaRef ds:uri="4bb42340-9f47-4abe-ab4a-c8e3965ecbee"/>
    <ds:schemaRef ds:uri="d65367fa-3864-4700-b814-968b53b914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Tiep Nguyen</dc:creator>
  <cp:keywords/>
  <dc:description/>
  <cp:lastModifiedBy>Van Thanh Duoc Do</cp:lastModifiedBy>
  <cp:revision/>
  <dcterms:created xsi:type="dcterms:W3CDTF">2020-03-24T03:46:00Z</dcterms:created>
  <dcterms:modified xsi:type="dcterms:W3CDTF">2026-07-02T08:36:30Z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AC8734726D0844B999BFA769C6CA60B0_12</vt:lpwstr>
  </property>
  <property fmtid="{D5CDD505-2E9C-101B-9397-08002B2CF9AE}" pid="3" name="KSOProductBuildVer">
    <vt:lpwstr>1033-12.2.0.21179</vt:lpwstr>
  </property>
  <property fmtid="{D5CDD505-2E9C-101B-9397-08002B2CF9AE}" pid="4" name="ContentTypeId">
    <vt:lpwstr>0x010100023F5BE324900F4FAE0D018AC665F8C9</vt:lpwstr>
  </property>
  <property fmtid="{D5CDD505-2E9C-101B-9397-08002B2CF9AE}" pid="5" name="MediaServiceImageTags">
    <vt:lpwstr/>
  </property>
</Properties>
</file>