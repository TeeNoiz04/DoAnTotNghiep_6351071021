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TC2\DoAnTotNghiep\SPO\"/>
    </mc:Choice>
  </mc:AlternateContent>
  <xr:revisionPtr revIDLastSave="0" documentId="13_ncr:1_{A52CA008-819F-4CAF-A806-F7554707D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cial price_PP" sheetId="3" r:id="rId1"/>
    <sheet name="Sheet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3" l="1"/>
  <c r="J29" i="3"/>
  <c r="K29" i="3" s="1"/>
  <c r="H29" i="3"/>
  <c r="H30" i="3"/>
  <c r="J28" i="3"/>
  <c r="H28" i="3"/>
  <c r="K28" i="3" l="1"/>
  <c r="K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Thanh, Le Thi Thu</author>
  </authors>
  <commentList>
    <comment ref="B10" authorId="0" shapeId="0" xr:uid="{27D8244A-715B-476E-8386-AB081403319E}">
      <text>
        <r>
          <rPr>
            <b/>
            <sz val="9"/>
            <color indexed="81"/>
            <rFont val="Tahoma"/>
            <family val="2"/>
          </rPr>
          <t>Thanh, Le Thi Thu:</t>
        </r>
        <r>
          <rPr>
            <sz val="9"/>
            <color indexed="81"/>
            <rFont val="Tahoma"/>
            <family val="2"/>
          </rPr>
          <t xml:space="preserve">
Sales channel: 
MEVN --&gt; Channel 1
 --&gt; Channel 2 --&gt; Channel 3 --&gt; Customer 4 --&gt; Customer 5 --&gt; …..</t>
        </r>
      </text>
    </comment>
    <comment ref="D10" authorId="0" shapeId="0" xr:uid="{3E0D020A-92B2-4107-8054-5E8FE7997FD8}">
      <text>
        <r>
          <rPr>
            <b/>
            <sz val="9"/>
            <color indexed="81"/>
            <rFont val="Tahoma"/>
            <family val="2"/>
          </rPr>
          <t>Thanh, Le Thi Thu:</t>
        </r>
        <r>
          <rPr>
            <sz val="9"/>
            <color indexed="81"/>
            <rFont val="Tahoma"/>
            <family val="2"/>
          </rPr>
          <t xml:space="preserve">
Ref: https://tracuunnt.gdt.gov.vn/tcnnt/mstdn.jsp</t>
        </r>
      </text>
    </comment>
    <comment ref="E10" authorId="0" shapeId="0" xr:uid="{2ADFE910-DC54-4BB3-B465-FAA96F774F1C}">
      <text>
        <r>
          <rPr>
            <b/>
            <sz val="9"/>
            <color indexed="81"/>
            <rFont val="Tahoma"/>
            <family val="2"/>
          </rPr>
          <t>Thanh, Le Thi Thu:</t>
        </r>
        <r>
          <rPr>
            <sz val="9"/>
            <color indexed="81"/>
            <rFont val="Tahoma"/>
            <family val="2"/>
          </rPr>
          <t xml:space="preserve">
Ref: https://tracuunnt.gdt.gov.vn/tcnnt/mstdn.jsp</t>
        </r>
      </text>
    </comment>
    <comment ref="G10" authorId="0" shapeId="0" xr:uid="{B35B1696-C037-4D8D-B29B-4AC12AEC1B2D}">
      <text>
        <r>
          <rPr>
            <sz val="11"/>
            <color theme="1"/>
            <rFont val="Calibri"/>
            <family val="2"/>
            <scheme val="minor"/>
          </rPr>
          <t>Thanh, Le Thi Thu:
Select from drop list</t>
        </r>
      </text>
    </comment>
    <comment ref="L13" authorId="0" shapeId="0" xr:uid="{ECC741FC-8930-4454-B075-D39F1904CBEF}">
      <text>
        <r>
          <rPr>
            <b/>
            <sz val="9"/>
            <color indexed="81"/>
            <rFont val="Tahoma"/>
            <family val="2"/>
          </rPr>
          <t>Thanh, Le Thi Thu:</t>
        </r>
        <r>
          <rPr>
            <sz val="9"/>
            <color indexed="81"/>
            <rFont val="Tahoma"/>
            <family val="2"/>
          </rPr>
          <t xml:space="preserve">
Project location</t>
        </r>
      </text>
    </comment>
    <comment ref="L14" authorId="0" shapeId="0" xr:uid="{CD949D7B-A84F-4638-8C4C-5FB4F76C1AAB}">
      <text>
        <r>
          <rPr>
            <b/>
            <sz val="9"/>
            <color indexed="81"/>
            <rFont val="Tahoma"/>
            <family val="2"/>
          </rPr>
          <t>Thanh, Le Thi Thu:</t>
        </r>
        <r>
          <rPr>
            <sz val="9"/>
            <color indexed="81"/>
            <rFont val="Tahoma"/>
            <family val="2"/>
          </rPr>
          <t xml:space="preserve">
Project location</t>
        </r>
      </text>
    </comment>
    <comment ref="L15" authorId="0" shapeId="0" xr:uid="{C953E1F1-79D2-4E41-AA25-E74FC3B5B62A}">
      <text>
        <r>
          <rPr>
            <b/>
            <sz val="9"/>
            <color indexed="81"/>
            <rFont val="Tahoma"/>
            <family val="2"/>
          </rPr>
          <t>Thanh, Le Thi Thu:</t>
        </r>
        <r>
          <rPr>
            <sz val="9"/>
            <color indexed="81"/>
            <rFont val="Tahoma"/>
            <family val="2"/>
          </rPr>
          <t xml:space="preserve">
Project location</t>
        </r>
      </text>
    </comment>
  </commentList>
</comments>
</file>

<file path=xl/sharedStrings.xml><?xml version="1.0" encoding="utf-8"?>
<sst xmlns="http://schemas.openxmlformats.org/spreadsheetml/2006/main" count="218" uniqueCount="173">
  <si>
    <t>SPECIAL PRICE REQUEST FORM</t>
  </si>
  <si>
    <t>Note:</t>
  </si>
  <si>
    <t>Please do not change the template except add fill in the form, and add the material lines below row# 28</t>
  </si>
  <si>
    <t>Material type</t>
  </si>
  <si>
    <t>FA</t>
  </si>
  <si>
    <t>(Select from Drop list)</t>
  </si>
  <si>
    <t>(*)</t>
  </si>
  <si>
    <t>Mandatory</t>
  </si>
  <si>
    <t>Project type(*)</t>
  </si>
  <si>
    <t>(**)</t>
  </si>
  <si>
    <t>Mandatory for first time registration</t>
  </si>
  <si>
    <t>Filled by Distributor</t>
  </si>
  <si>
    <t>Filled by MEVN Sales PIC</t>
  </si>
  <si>
    <t>CUSTOMER INFORMATION</t>
  </si>
  <si>
    <t>PROJECT INFORMATION</t>
  </si>
  <si>
    <t>Sales channel (*)</t>
  </si>
  <si>
    <t>Tax code(*)</t>
  </si>
  <si>
    <r>
      <rPr>
        <b/>
        <sz val="12"/>
        <color rgb="FF203764"/>
        <rFont val="Calibri"/>
        <family val="2"/>
        <scheme val="minor"/>
      </rPr>
      <t xml:space="preserve">Company official name (**)
</t>
    </r>
    <r>
      <rPr>
        <i/>
        <sz val="12"/>
        <color rgb="FF203764"/>
        <rFont val="Calibri"/>
        <family val="2"/>
        <scheme val="minor"/>
      </rPr>
      <t>(Vietnamese official name for Vietnam located company)</t>
    </r>
  </si>
  <si>
    <t>Official address (**)</t>
  </si>
  <si>
    <t>Customer Nationality (*)</t>
  </si>
  <si>
    <t>Customer type (*)</t>
  </si>
  <si>
    <t>Industry (*)</t>
  </si>
  <si>
    <t>Project (PJ) information</t>
  </si>
  <si>
    <t>Distributor</t>
  </si>
  <si>
    <t>Project Name(*)</t>
  </si>
  <si>
    <t>Panel Builder</t>
  </si>
  <si>
    <t>Application (*)</t>
  </si>
  <si>
    <t>Country(*)</t>
  </si>
  <si>
    <t>Investor/ End-user</t>
  </si>
  <si>
    <t xml:space="preserve"> Province(*)</t>
  </si>
  <si>
    <t xml:space="preserve"> Detailed Address(*)</t>
  </si>
  <si>
    <t>Competitor brand(*)</t>
  </si>
  <si>
    <t>Price gap with competitor (*)</t>
  </si>
  <si>
    <t>New</t>
  </si>
  <si>
    <t>Decision right</t>
  </si>
  <si>
    <t>Exist</t>
  </si>
  <si>
    <t>PO planned date(*)</t>
  </si>
  <si>
    <t>Estimated delivery date(*)</t>
  </si>
  <si>
    <t>Repeat</t>
  </si>
  <si>
    <t>Upcoming potential projects</t>
  </si>
  <si>
    <t>One Shot</t>
  </si>
  <si>
    <t>Other PJ information</t>
  </si>
  <si>
    <t>Item</t>
  </si>
  <si>
    <t>Price</t>
  </si>
  <si>
    <t>Competitor</t>
  </si>
  <si>
    <t>No</t>
  </si>
  <si>
    <t>Material code (*)</t>
  </si>
  <si>
    <t>Model Name (*)</t>
  </si>
  <si>
    <t>Spec 1</t>
  </si>
  <si>
    <t>Spec 2</t>
  </si>
  <si>
    <t>Qty (*)</t>
  </si>
  <si>
    <t>Standard Price to Dist
Unit price (VND) (*)</t>
  </si>
  <si>
    <t>Standard Amount
(VND)</t>
  </si>
  <si>
    <t>Dist requested price
Unit price (VND) (*)</t>
  </si>
  <si>
    <t>Requested amount
(VND)</t>
  </si>
  <si>
    <t>Requested Discount ratio</t>
  </si>
  <si>
    <t>Price to customer
(VND) (*)</t>
  </si>
  <si>
    <t>Competitor
Brand</t>
  </si>
  <si>
    <t>Competitor
Model</t>
  </si>
  <si>
    <t>Competitor
price</t>
  </si>
  <si>
    <t>Project type</t>
  </si>
  <si>
    <t>E/U industry</t>
  </si>
  <si>
    <t>E/U Nationality</t>
  </si>
  <si>
    <t>Customer type</t>
  </si>
  <si>
    <t xml:space="preserve">Checked </t>
  </si>
  <si>
    <t>Customer role</t>
  </si>
  <si>
    <t>Sales channel</t>
  </si>
  <si>
    <t>TÊN TỈNH THÀNH</t>
  </si>
  <si>
    <t>LVS</t>
  </si>
  <si>
    <t>Trading</t>
  </si>
  <si>
    <t>An Giang</t>
  </si>
  <si>
    <t>FA-Energy Saving Solution</t>
  </si>
  <si>
    <t>Automotive</t>
  </si>
  <si>
    <t>Japan</t>
  </si>
  <si>
    <t>M&amp;E contractor</t>
  </si>
  <si>
    <t>Energy Saving Solution</t>
  </si>
  <si>
    <t>Building</t>
  </si>
  <si>
    <t>Yes</t>
  </si>
  <si>
    <t>Panel builder</t>
  </si>
  <si>
    <t>Bắc Ninh</t>
  </si>
  <si>
    <t>FA-Scada</t>
  </si>
  <si>
    <t>Electrical/Electronic/Precision</t>
  </si>
  <si>
    <t>Korea</t>
  </si>
  <si>
    <t>Main contractor</t>
  </si>
  <si>
    <t>Scada</t>
  </si>
  <si>
    <t>Factory</t>
  </si>
  <si>
    <t>ME contractor</t>
  </si>
  <si>
    <t>Cà Mau</t>
  </si>
  <si>
    <t>FA-Robot project</t>
  </si>
  <si>
    <t>Electronics part</t>
  </si>
  <si>
    <t>SI/OEM</t>
  </si>
  <si>
    <t>Robot project</t>
  </si>
  <si>
    <t>EVN</t>
  </si>
  <si>
    <t>Cần Thơ</t>
  </si>
  <si>
    <t>FA-Changing from competitors</t>
  </si>
  <si>
    <t>F&amp;B/ Pharmaceutical</t>
  </si>
  <si>
    <t>Changing from competitors</t>
  </si>
  <si>
    <t>Solar</t>
  </si>
  <si>
    <t>Cao Bằng</t>
  </si>
  <si>
    <t>FA-E-factory &amp; IoT</t>
  </si>
  <si>
    <t>Infrastructure</t>
  </si>
  <si>
    <t>Western (Europe, US, Canada…)</t>
  </si>
  <si>
    <t>E-factory &amp; IoT</t>
  </si>
  <si>
    <t>End-user</t>
  </si>
  <si>
    <t>Đà Nẵng</t>
  </si>
  <si>
    <t>FA-Others</t>
  </si>
  <si>
    <t>Machinery/ General Equipments</t>
  </si>
  <si>
    <t>Others</t>
  </si>
  <si>
    <t>Đắk Lắk</t>
  </si>
  <si>
    <t>LVS-Building</t>
  </si>
  <si>
    <t>Logistics</t>
  </si>
  <si>
    <t>Điện Biên</t>
  </si>
  <si>
    <t>LVS-Factory</t>
  </si>
  <si>
    <t>Semiconductors/ Liquid Crystal/ Batteries</t>
  </si>
  <si>
    <t>Đồng Nai</t>
  </si>
  <si>
    <t>LVS-EVN</t>
  </si>
  <si>
    <t>Steel/Metal/Material/Chemistry/Mining</t>
  </si>
  <si>
    <t>Đồng Tháp</t>
  </si>
  <si>
    <t>LVS-Solar</t>
  </si>
  <si>
    <t>Switchboard Manufacturer</t>
  </si>
  <si>
    <t>Gia Lai</t>
  </si>
  <si>
    <t>LVS-Infrastructure</t>
  </si>
  <si>
    <t>Textile/ Garment</t>
  </si>
  <si>
    <t>Hà Nội</t>
  </si>
  <si>
    <t>LVS-EMS</t>
  </si>
  <si>
    <t>Water Treatment</t>
  </si>
  <si>
    <t>Hà Tĩnh</t>
  </si>
  <si>
    <t>LVS-Others</t>
  </si>
  <si>
    <t>Power Electric</t>
  </si>
  <si>
    <t>Hải Phòng</t>
  </si>
  <si>
    <t>Building/ Construction</t>
  </si>
  <si>
    <t>HCM</t>
  </si>
  <si>
    <t>Engineering/SI</t>
  </si>
  <si>
    <t>Huế</t>
  </si>
  <si>
    <t>Governments,Organizations</t>
  </si>
  <si>
    <t>Hưng Yên</t>
  </si>
  <si>
    <t>Khánh Hòa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</si>
  <si>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</si>
  <si>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</si>
  <si>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</si>
  <si>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</si>
  <si>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</si>
  <si>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</si>
  <si>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</si>
  <si>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</si>
  <si>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</si>
  <si>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</si>
  <si>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</si>
  <si>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</si>
  <si>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</si>
  <si>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</si>
  <si>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Tuyên Quang</t>
  </si>
  <si>
    <t>Vĩnh Long</t>
  </si>
  <si>
    <t>Other (oversea)</t>
  </si>
  <si>
    <t>Viet Nam</t>
  </si>
  <si>
    <t>China/Taiwan</t>
  </si>
  <si>
    <t>Sale Offer
Unit price (VND) (*)</t>
  </si>
  <si>
    <t>Vietnam</t>
  </si>
  <si>
    <t>Automation machines</t>
  </si>
  <si>
    <t>Oversea</t>
  </si>
  <si>
    <t>NA</t>
  </si>
  <si>
    <t>22/10/2026</t>
  </si>
  <si>
    <t>Test</t>
  </si>
  <si>
    <t>test</t>
  </si>
  <si>
    <t>CÔNG TY 1 test</t>
  </si>
  <si>
    <t>CÔNG TY 2 test</t>
  </si>
  <si>
    <t>CÔNG TY 3 test</t>
  </si>
  <si>
    <t xml:space="preserve">Test project </t>
  </si>
  <si>
    <t>Test Material code1</t>
  </si>
  <si>
    <t>FAKE-SC-E1-01</t>
  </si>
  <si>
    <t>SC-E1-4-0.4K</t>
  </si>
  <si>
    <t>FAKE-CR-01</t>
  </si>
  <si>
    <t>CR-Y120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</si>
</sst>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27"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4" tint="-0.499984740745262"/>
      <name val="Calibri"/>
      <family val="2"/>
      <charset val="134"/>
      <scheme val="minor"/>
    </font>
    <font>
      <sz val="10"/>
      <color rgb="FFFF0000"/>
      <name val="Calibri"/>
      <family val="2"/>
      <charset val="134"/>
      <scheme val="minor"/>
    </font>
    <font>
      <b/>
      <i/>
      <sz val="12"/>
      <color theme="4" tint="-0.499984740745262"/>
      <name val="Calibri"/>
      <family val="2"/>
      <scheme val="minor"/>
    </font>
    <font>
      <b/>
      <u/>
      <sz val="12"/>
      <color theme="4" tint="-0.499984740745262"/>
      <name val="Calibri"/>
      <family val="2"/>
      <scheme val="minor"/>
    </font>
    <font>
      <sz val="11"/>
      <color rgb="FF000000"/>
      <name val="Aptos Narrow"/>
      <family val="2"/>
    </font>
    <font>
      <i/>
      <sz val="10"/>
      <color theme="4" tint="-0.49998474074526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2"/>
      <color rgb="FF203764"/>
      <name val="Calibri"/>
      <family val="2"/>
      <scheme val="minor"/>
    </font>
    <font>
      <i/>
      <sz val="12"/>
      <color rgb="FF203764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7"/>
      <color rgb="FF32516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65" fontId="7" fillId="0" borderId="0" xfId="1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0" borderId="0" xfId="1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 wrapText="1"/>
    </xf>
    <xf numFmtId="14" fontId="7" fillId="8" borderId="4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9" fillId="5" borderId="2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11" fillId="0" borderId="4" xfId="1" applyNumberFormat="1" applyFont="1" applyBorder="1" applyAlignment="1">
      <alignment vertical="top"/>
    </xf>
    <xf numFmtId="165" fontId="6" fillId="0" borderId="4" xfId="1" applyNumberFormat="1" applyFont="1" applyBorder="1" applyAlignment="1">
      <alignment vertical="center"/>
    </xf>
    <xf numFmtId="9" fontId="6" fillId="0" borderId="4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11" fillId="9" borderId="4" xfId="1" applyNumberFormat="1" applyFont="1" applyFill="1" applyBorder="1" applyAlignment="1">
      <alignment vertical="top"/>
    </xf>
    <xf numFmtId="0" fontId="6" fillId="8" borderId="4" xfId="0" applyFont="1" applyFill="1" applyBorder="1" applyAlignment="1">
      <alignment horizontal="center" vertical="center"/>
    </xf>
    <xf numFmtId="0" fontId="7" fillId="8" borderId="4" xfId="0" quotePrefix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8" fillId="0" borderId="13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9" fillId="0" borderId="0" xfId="0" applyFont="1"/>
    <xf numFmtId="0" fontId="8" fillId="0" borderId="21" xfId="0" applyFont="1" applyBorder="1" applyAlignment="1">
      <alignment vertical="center" wrapText="1"/>
    </xf>
    <xf numFmtId="0" fontId="8" fillId="8" borderId="21" xfId="0" applyFont="1" applyFill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2" applyFont="1" applyAlignment="1">
      <alignment vertical="center"/>
    </xf>
    <xf numFmtId="0" fontId="22" fillId="7" borderId="4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8" borderId="12" xfId="0" applyFont="1" applyFill="1" applyBorder="1" applyAlignment="1">
      <alignment horizontal="center" vertical="center" wrapText="1"/>
    </xf>
    <xf numFmtId="164" fontId="13" fillId="9" borderId="22" xfId="1" applyNumberFormat="1" applyFont="1" applyFill="1" applyBorder="1" applyAlignment="1">
      <alignment vertical="top"/>
    </xf>
    <xf numFmtId="165" fontId="8" fillId="0" borderId="0" xfId="1" applyNumberFormat="1" applyFont="1" applyBorder="1" applyAlignment="1">
      <alignment vertical="center" wrapText="1"/>
    </xf>
    <xf numFmtId="165" fontId="7" fillId="0" borderId="0" xfId="1" applyNumberFormat="1" applyFont="1" applyBorder="1" applyAlignment="1">
      <alignment vertical="center" wrapText="1"/>
    </xf>
    <xf numFmtId="165" fontId="7" fillId="0" borderId="0" xfId="1" applyNumberFormat="1" applyFont="1" applyBorder="1" applyAlignment="1">
      <alignment vertical="center"/>
    </xf>
    <xf numFmtId="0" fontId="15" fillId="11" borderId="0" xfId="0" applyFont="1" applyFill="1" applyAlignment="1">
      <alignment vertical="center" wrapText="1"/>
    </xf>
    <xf numFmtId="165" fontId="8" fillId="7" borderId="4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left" vertical="center" wrapText="1"/>
    </xf>
    <xf numFmtId="0" fontId="17" fillId="0" borderId="4" xfId="0" quotePrefix="1" applyFont="1" applyBorder="1" applyAlignment="1">
      <alignment horizontal="left" vertical="center" wrapText="1"/>
    </xf>
    <xf numFmtId="0" fontId="8" fillId="0" borderId="4" xfId="1" applyNumberFormat="1" applyFont="1" applyFill="1" applyBorder="1" applyAlignment="1">
      <alignment vertical="center" wrapText="1"/>
    </xf>
    <xf numFmtId="0" fontId="9" fillId="4" borderId="23" xfId="0" applyFont="1" applyFill="1" applyBorder="1" applyAlignment="1">
      <alignment vertical="center"/>
    </xf>
    <xf numFmtId="0" fontId="9" fillId="2" borderId="24" xfId="0" applyFont="1" applyFill="1" applyBorder="1" applyAlignment="1">
      <alignment horizontal="center" vertical="center"/>
    </xf>
    <xf numFmtId="0" fontId="10" fillId="2" borderId="24" xfId="2" applyFont="1" applyFill="1" applyBorder="1" applyAlignment="1">
      <alignment horizontal="center" vertical="center" wrapText="1"/>
    </xf>
    <xf numFmtId="0" fontId="10" fillId="2" borderId="25" xfId="2" applyFont="1" applyFill="1" applyBorder="1" applyAlignment="1">
      <alignment horizontal="center" vertical="center" wrapText="1"/>
    </xf>
    <xf numFmtId="0" fontId="10" fillId="2" borderId="26" xfId="2" applyFont="1" applyFill="1" applyBorder="1" applyAlignment="1">
      <alignment horizontal="center" vertical="center" wrapText="1"/>
    </xf>
    <xf numFmtId="164" fontId="10" fillId="10" borderId="27" xfId="1" applyNumberFormat="1" applyFont="1" applyFill="1" applyBorder="1" applyAlignment="1">
      <alignment horizontal="center" vertical="center" wrapText="1"/>
    </xf>
    <xf numFmtId="0" fontId="10" fillId="10" borderId="28" xfId="2" applyFont="1" applyFill="1" applyBorder="1" applyAlignment="1">
      <alignment horizontal="center" vertical="center" wrapText="1"/>
    </xf>
    <xf numFmtId="165" fontId="9" fillId="10" borderId="29" xfId="1" applyNumberFormat="1" applyFont="1" applyFill="1" applyBorder="1" applyAlignment="1">
      <alignment horizontal="center" vertical="center" wrapText="1"/>
    </xf>
    <xf numFmtId="0" fontId="10" fillId="10" borderId="30" xfId="2" applyFont="1" applyFill="1" applyBorder="1" applyAlignment="1">
      <alignment horizontal="center" vertical="center" wrapText="1"/>
    </xf>
    <xf numFmtId="3" fontId="10" fillId="10" borderId="3" xfId="2" applyNumberFormat="1" applyFont="1" applyFill="1" applyBorder="1" applyAlignment="1">
      <alignment horizontal="center" vertical="center" wrapText="1"/>
    </xf>
    <xf numFmtId="0" fontId="10" fillId="6" borderId="27" xfId="2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0" fontId="0" fillId="0" borderId="4" xfId="0" applyNumberFormat="1" applyBorder="1" applyAlignment="1">
      <alignment vertical="center" wrapText="1"/>
    </xf>
    <xf numFmtId="0" fontId="24" fillId="0" borderId="4" xfId="0" applyFont="1" applyBorder="1" applyAlignment="1">
      <alignment wrapText="1"/>
    </xf>
    <xf numFmtId="0" fontId="25" fillId="0" borderId="4" xfId="0" applyFont="1" applyBorder="1"/>
    <xf numFmtId="0" fontId="24" fillId="0" borderId="4" xfId="0" applyFont="1" applyBorder="1"/>
    <xf numFmtId="0" fontId="26" fillId="0" borderId="4" xfId="0" applyFont="1" applyBorder="1" applyAlignment="1">
      <alignment wrapText="1"/>
    </xf>
    <xf numFmtId="43" fontId="0" fillId="0" borderId="4" xfId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9" fontId="9" fillId="3" borderId="13" xfId="0" applyNumberFormat="1" applyFont="1" applyFill="1" applyBorder="1" applyAlignment="1">
      <alignment horizontal="center" vertical="center"/>
    </xf>
    <xf numFmtId="9" fontId="9" fillId="3" borderId="18" xfId="0" applyNumberFormat="1" applyFont="1" applyFill="1" applyBorder="1" applyAlignment="1">
      <alignment horizontal="center" vertical="center"/>
    </xf>
    <xf numFmtId="9" fontId="9" fillId="3" borderId="14" xfId="0" applyNumberFormat="1" applyFont="1" applyFill="1" applyBorder="1" applyAlignment="1">
      <alignment horizontal="center" vertical="center"/>
    </xf>
    <xf numFmtId="9" fontId="9" fillId="3" borderId="19" xfId="0" applyNumberFormat="1" applyFont="1" applyFill="1" applyBorder="1" applyAlignment="1">
      <alignment horizontal="center" vertical="center"/>
    </xf>
    <xf numFmtId="9" fontId="9" fillId="3" borderId="20" xfId="0" applyNumberFormat="1" applyFont="1" applyFill="1" applyBorder="1" applyAlignment="1">
      <alignment horizontal="center" vertical="center"/>
    </xf>
    <xf numFmtId="9" fontId="9" fillId="3" borderId="17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標準 2" xfId="2" xr:uid="{00000000-0005-0000-0000-000031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8B71-8F1A-4DBD-9BCF-186E0A6AFA51}">
  <dimension ref="A1:XEX40"/>
  <sheetViews>
    <sheetView tabSelected="1" topLeftCell="D16" zoomScale="85" zoomScaleNormal="85" workbookViewId="0">
      <selection activeCell="I31" sqref="I31"/>
    </sheetView>
  </sheetViews>
  <sheetFormatPr defaultColWidth="9.21875" defaultRowHeight="15.6"/>
  <cols>
    <col min="1" max="1" width="3.44140625" style="4" bestFit="1" customWidth="1"/>
    <col min="2" max="2" width="18.77734375" style="4" customWidth="1"/>
    <col min="3" max="3" width="15.44140625" style="4" bestFit="1" customWidth="1"/>
    <col min="4" max="4" width="30.21875" style="18" bestFit="1" customWidth="1"/>
    <col min="5" max="5" width="25.44140625" style="4" bestFit="1" customWidth="1"/>
    <col min="6" max="6" width="13.77734375" style="4" bestFit="1" customWidth="1"/>
    <col min="7" max="7" width="20.77734375" style="19" bestFit="1" customWidth="1"/>
    <col min="8" max="8" width="17.44140625" style="4" bestFit="1" customWidth="1"/>
    <col min="9" max="9" width="19.44140625" style="20" bestFit="1" customWidth="1"/>
    <col min="10" max="10" width="16.77734375" style="20" customWidth="1"/>
    <col min="11" max="11" width="14.21875" style="4" customWidth="1"/>
    <col min="12" max="12" width="45.77734375" style="4" customWidth="1"/>
    <col min="13" max="13" width="17" style="4" customWidth="1"/>
    <col min="14" max="14" width="14.44140625" style="4" customWidth="1"/>
    <col min="15" max="15" width="20.5546875" style="4" customWidth="1"/>
    <col min="16" max="16" width="14.44140625" style="4" customWidth="1"/>
    <col min="17" max="17" width="9.21875" style="4"/>
    <col min="18" max="18" width="9.44140625" style="4" hidden="1" customWidth="1"/>
    <col min="19" max="19" width="2.44140625" style="4" customWidth="1"/>
    <col min="20" max="16378" width="9.21875" style="4"/>
    <col min="16379" max="16384" width="9.21875" style="2"/>
  </cols>
  <sheetData>
    <row r="1" spans="2:15" ht="16.05" customHeight="1">
      <c r="B1" s="46" t="s">
        <v>0</v>
      </c>
      <c r="C1" s="1"/>
      <c r="D1" s="6"/>
      <c r="E1" s="5"/>
      <c r="F1" s="5"/>
      <c r="G1" s="7"/>
      <c r="I1" s="5"/>
      <c r="J1" s="8"/>
      <c r="K1" s="8"/>
      <c r="L1" s="39" t="s">
        <v>1</v>
      </c>
      <c r="M1" s="34"/>
      <c r="N1" s="5"/>
      <c r="O1" s="5"/>
    </row>
    <row r="2" spans="2:15" s="4" customFormat="1" ht="24" customHeight="1">
      <c r="B2" s="5"/>
      <c r="C2" s="5"/>
      <c r="D2" s="6"/>
      <c r="E2" s="5"/>
      <c r="F2" s="5"/>
      <c r="G2" s="7"/>
      <c r="I2" s="5"/>
      <c r="J2" s="8"/>
      <c r="K2" s="8"/>
      <c r="L2" s="40" t="s">
        <v>2</v>
      </c>
      <c r="M2" s="41"/>
      <c r="N2" s="5"/>
      <c r="O2" s="5"/>
    </row>
    <row r="3" spans="2:15" s="4" customFormat="1" ht="13.5" customHeight="1">
      <c r="B3" s="43" t="s">
        <v>3</v>
      </c>
      <c r="C3" s="43" t="s">
        <v>4</v>
      </c>
      <c r="D3" s="45" t="s">
        <v>5</v>
      </c>
      <c r="E3" s="5"/>
      <c r="F3" s="5"/>
      <c r="G3" s="7"/>
      <c r="I3" s="5"/>
      <c r="J3" s="8"/>
      <c r="K3" s="8"/>
      <c r="L3" s="35" t="s">
        <v>6</v>
      </c>
      <c r="M3" s="36" t="s">
        <v>7</v>
      </c>
      <c r="N3" s="5"/>
      <c r="O3" s="5"/>
    </row>
    <row r="4" spans="2:15" s="9" customFormat="1" ht="16.05" customHeight="1">
      <c r="B4" s="43" t="s">
        <v>8</v>
      </c>
      <c r="C4" s="44" t="s">
        <v>105</v>
      </c>
      <c r="D4" s="45" t="s">
        <v>5</v>
      </c>
      <c r="E4" s="11"/>
      <c r="F4" s="11"/>
      <c r="G4" s="11"/>
      <c r="I4" s="11"/>
      <c r="J4" s="55"/>
      <c r="K4" s="56"/>
      <c r="L4" s="52" t="s">
        <v>9</v>
      </c>
      <c r="M4" s="37" t="s">
        <v>10</v>
      </c>
      <c r="N4" s="11"/>
      <c r="O4" s="11"/>
    </row>
    <row r="5" spans="2:15" s="9" customFormat="1" ht="16.05" customHeight="1">
      <c r="B5" s="13"/>
      <c r="C5" s="13"/>
      <c r="D5" s="10"/>
      <c r="E5" s="11"/>
      <c r="F5" s="11"/>
      <c r="G5" s="12"/>
      <c r="I5" s="13"/>
      <c r="J5" s="55"/>
      <c r="K5" s="56"/>
      <c r="L5" s="53"/>
      <c r="M5" s="37" t="s">
        <v>11</v>
      </c>
      <c r="N5" s="11"/>
      <c r="O5" s="11"/>
    </row>
    <row r="6" spans="2:15" s="9" customFormat="1" ht="16.05" customHeight="1">
      <c r="E6" s="11"/>
      <c r="F6" s="11"/>
      <c r="G6" s="12"/>
      <c r="I6" s="13"/>
      <c r="J6" s="55"/>
      <c r="K6" s="56"/>
      <c r="L6" s="54"/>
      <c r="M6" s="38" t="s">
        <v>12</v>
      </c>
      <c r="N6" s="11"/>
      <c r="O6" s="11"/>
    </row>
    <row r="7" spans="2:15" s="9" customFormat="1">
      <c r="B7" s="13"/>
      <c r="C7" s="13"/>
      <c r="E7" s="10"/>
      <c r="F7" s="11"/>
      <c r="G7" s="12"/>
      <c r="I7" s="13"/>
      <c r="J7" s="55"/>
      <c r="K7" s="56"/>
      <c r="L7" s="11"/>
      <c r="M7" s="11"/>
      <c r="N7" s="11"/>
      <c r="O7" s="11"/>
    </row>
    <row r="8" spans="2:15" s="9" customFormat="1" ht="15.75" customHeight="1">
      <c r="B8" s="83" t="s">
        <v>13</v>
      </c>
      <c r="C8" s="83"/>
      <c r="D8" s="83"/>
      <c r="E8" s="83"/>
      <c r="F8" s="83"/>
      <c r="G8" s="83"/>
      <c r="H8" s="83"/>
      <c r="I8" s="13"/>
      <c r="J8" s="13"/>
      <c r="L8" s="50" t="s">
        <v>14</v>
      </c>
      <c r="M8" s="50"/>
      <c r="O8" s="10"/>
    </row>
    <row r="9" spans="2:15" s="9" customFormat="1" ht="27.6" customHeight="1">
      <c r="B9" s="100" t="s">
        <v>11</v>
      </c>
      <c r="C9" s="100"/>
      <c r="D9" s="100"/>
      <c r="E9" s="100"/>
      <c r="F9" s="100"/>
      <c r="G9" s="100"/>
      <c r="H9" s="100"/>
      <c r="I9" s="84"/>
      <c r="J9" s="84"/>
      <c r="L9" s="14" t="s">
        <v>11</v>
      </c>
      <c r="M9" s="14"/>
      <c r="N9" s="48"/>
      <c r="O9" s="48"/>
    </row>
    <row r="10" spans="2:15" s="9" customFormat="1" ht="46.8">
      <c r="B10" s="14" t="s">
        <v>15</v>
      </c>
      <c r="C10" s="14" t="s">
        <v>16</v>
      </c>
      <c r="D10" s="47" t="s">
        <v>17</v>
      </c>
      <c r="E10" s="14" t="s">
        <v>18</v>
      </c>
      <c r="F10" s="14" t="s">
        <v>19</v>
      </c>
      <c r="G10" s="14" t="s">
        <v>20</v>
      </c>
      <c r="H10" s="14" t="s">
        <v>21</v>
      </c>
      <c r="I10" s="48"/>
      <c r="J10" s="48"/>
      <c r="L10" s="59" t="s">
        <v>22</v>
      </c>
      <c r="M10" s="59"/>
      <c r="N10" s="48"/>
      <c r="O10" s="48"/>
    </row>
    <row r="11" spans="2:15" s="9" customFormat="1">
      <c r="B11" s="50">
        <v>1</v>
      </c>
      <c r="C11" s="33">
        <v>2300873778</v>
      </c>
      <c r="D11" s="15" t="s">
        <v>164</v>
      </c>
      <c r="E11" s="16" t="s">
        <v>163</v>
      </c>
      <c r="F11" s="15" t="s">
        <v>154</v>
      </c>
      <c r="G11" s="15" t="s">
        <v>23</v>
      </c>
      <c r="H11" s="15" t="s">
        <v>107</v>
      </c>
      <c r="I11" s="49"/>
      <c r="J11" s="49"/>
      <c r="L11" s="60" t="s">
        <v>24</v>
      </c>
      <c r="M11" s="15" t="s">
        <v>167</v>
      </c>
      <c r="N11" s="49"/>
      <c r="O11" s="58"/>
    </row>
    <row r="12" spans="2:15" s="9" customFormat="1" ht="13.95" customHeight="1">
      <c r="B12" s="50">
        <v>2</v>
      </c>
      <c r="C12" s="16">
        <v>2300938464</v>
      </c>
      <c r="D12" s="15" t="s">
        <v>165</v>
      </c>
      <c r="E12" s="16" t="s">
        <v>163</v>
      </c>
      <c r="F12" s="15" t="s">
        <v>82</v>
      </c>
      <c r="G12" s="15" t="s">
        <v>90</v>
      </c>
      <c r="H12" s="15" t="s">
        <v>107</v>
      </c>
      <c r="I12" s="49"/>
      <c r="J12" s="49"/>
      <c r="L12" s="51" t="s">
        <v>26</v>
      </c>
      <c r="M12" s="15" t="s">
        <v>158</v>
      </c>
      <c r="N12" s="49"/>
      <c r="O12" s="58"/>
    </row>
    <row r="13" spans="2:15" s="9" customFormat="1" ht="16.2" customHeight="1">
      <c r="B13" s="50">
        <v>3</v>
      </c>
      <c r="C13" s="16">
        <v>2300852009</v>
      </c>
      <c r="D13" s="15" t="s">
        <v>166</v>
      </c>
      <c r="E13" s="16" t="s">
        <v>163</v>
      </c>
      <c r="F13" s="15" t="s">
        <v>82</v>
      </c>
      <c r="G13" s="15" t="s">
        <v>28</v>
      </c>
      <c r="H13" s="15" t="s">
        <v>81</v>
      </c>
      <c r="I13" s="49"/>
      <c r="J13" s="49"/>
      <c r="L13" s="60" t="s">
        <v>27</v>
      </c>
      <c r="M13" s="15" t="s">
        <v>157</v>
      </c>
      <c r="N13" s="49"/>
      <c r="O13" s="58"/>
    </row>
    <row r="14" spans="2:15" s="9" customFormat="1">
      <c r="B14" s="50"/>
      <c r="C14" s="16"/>
      <c r="D14" s="15"/>
      <c r="E14" s="16"/>
      <c r="F14" s="15"/>
      <c r="G14" s="15"/>
      <c r="H14" s="15"/>
      <c r="I14" s="49"/>
      <c r="J14" s="49"/>
      <c r="L14" s="61" t="s">
        <v>29</v>
      </c>
      <c r="M14" s="15" t="s">
        <v>79</v>
      </c>
      <c r="N14" s="49"/>
      <c r="O14" s="58"/>
    </row>
    <row r="15" spans="2:15" s="9" customFormat="1">
      <c r="B15" s="50"/>
      <c r="C15" s="16"/>
      <c r="D15" s="15"/>
      <c r="E15" s="16"/>
      <c r="F15" s="15"/>
      <c r="G15" s="15"/>
      <c r="H15" s="15"/>
      <c r="I15" s="49"/>
      <c r="J15" s="49"/>
      <c r="L15" s="61" t="s">
        <v>30</v>
      </c>
      <c r="M15" s="15" t="s">
        <v>162</v>
      </c>
      <c r="N15" s="49"/>
      <c r="O15" s="58"/>
    </row>
    <row r="16" spans="2:15" s="9" customFormat="1">
      <c r="B16" s="50"/>
      <c r="C16" s="16"/>
      <c r="D16" s="15"/>
      <c r="E16" s="16"/>
      <c r="F16" s="15"/>
      <c r="G16" s="15"/>
      <c r="H16" s="15"/>
      <c r="I16" s="49"/>
      <c r="J16" s="49"/>
      <c r="L16" s="60" t="s">
        <v>31</v>
      </c>
      <c r="M16" s="15" t="s">
        <v>159</v>
      </c>
      <c r="N16" s="49"/>
      <c r="O16" s="58"/>
    </row>
    <row r="17" spans="1:18" s="9" customFormat="1" ht="13.95" customHeight="1">
      <c r="B17" s="50"/>
      <c r="C17" s="16"/>
      <c r="D17" s="15"/>
      <c r="E17" s="16"/>
      <c r="F17" s="15"/>
      <c r="G17" s="15"/>
      <c r="H17" s="15"/>
      <c r="I17" s="49"/>
      <c r="J17" s="49"/>
      <c r="L17" s="62" t="s">
        <v>32</v>
      </c>
      <c r="M17" s="15">
        <v>0.3</v>
      </c>
      <c r="N17" s="49"/>
      <c r="O17" s="58"/>
      <c r="R17" s="9" t="s">
        <v>33</v>
      </c>
    </row>
    <row r="18" spans="1:18" s="9" customFormat="1">
      <c r="B18" s="50"/>
      <c r="C18" s="16"/>
      <c r="D18" s="15"/>
      <c r="E18" s="16"/>
      <c r="F18" s="15"/>
      <c r="G18" s="15"/>
      <c r="H18" s="15"/>
      <c r="I18" s="49"/>
      <c r="J18" s="49"/>
      <c r="L18" s="51" t="s">
        <v>34</v>
      </c>
      <c r="M18" s="15" t="s">
        <v>166</v>
      </c>
      <c r="N18" s="49"/>
      <c r="O18" s="58"/>
      <c r="R18" s="9" t="s">
        <v>35</v>
      </c>
    </row>
    <row r="19" spans="1:18" s="9" customFormat="1">
      <c r="B19" s="50"/>
      <c r="C19" s="16"/>
      <c r="D19" s="15"/>
      <c r="E19" s="16"/>
      <c r="F19" s="15"/>
      <c r="G19" s="15"/>
      <c r="H19" s="15"/>
      <c r="I19" s="49"/>
      <c r="J19" s="49"/>
      <c r="L19" s="62" t="s">
        <v>36</v>
      </c>
      <c r="M19" s="17">
        <v>46244</v>
      </c>
      <c r="N19" s="49"/>
      <c r="O19" s="58"/>
    </row>
    <row r="20" spans="1:18" s="9" customFormat="1">
      <c r="B20" s="50"/>
      <c r="C20" s="16"/>
      <c r="D20" s="15"/>
      <c r="E20" s="16"/>
      <c r="F20" s="15"/>
      <c r="G20" s="15"/>
      <c r="H20" s="15"/>
      <c r="I20" s="49"/>
      <c r="J20" s="49"/>
      <c r="L20" s="60" t="s">
        <v>37</v>
      </c>
      <c r="M20" s="17" t="s">
        <v>161</v>
      </c>
      <c r="N20" s="49"/>
      <c r="O20" s="58"/>
      <c r="R20" s="9" t="s">
        <v>38</v>
      </c>
    </row>
    <row r="21" spans="1:18" s="9" customFormat="1" ht="19.95" customHeight="1">
      <c r="B21" s="50"/>
      <c r="C21" s="16"/>
      <c r="D21" s="15"/>
      <c r="E21" s="16"/>
      <c r="F21" s="15"/>
      <c r="G21" s="15"/>
      <c r="H21" s="15"/>
      <c r="I21" s="49"/>
      <c r="J21" s="49"/>
      <c r="L21" s="62" t="s">
        <v>39</v>
      </c>
      <c r="M21" s="15" t="s">
        <v>160</v>
      </c>
      <c r="N21" s="49"/>
      <c r="O21" s="58"/>
      <c r="R21" s="9" t="s">
        <v>40</v>
      </c>
    </row>
    <row r="22" spans="1:18" s="9" customFormat="1">
      <c r="B22" s="50"/>
      <c r="C22" s="16"/>
      <c r="D22" s="15"/>
      <c r="E22" s="16"/>
      <c r="F22" s="15"/>
      <c r="G22" s="15"/>
      <c r="H22" s="15"/>
      <c r="I22" s="49"/>
      <c r="J22" s="49"/>
      <c r="L22" s="60" t="s">
        <v>41</v>
      </c>
      <c r="M22" s="15" t="s">
        <v>160</v>
      </c>
      <c r="N22" s="49"/>
      <c r="O22" s="58"/>
    </row>
    <row r="23" spans="1:18">
      <c r="B23" s="5"/>
      <c r="C23" s="5"/>
      <c r="D23" s="6"/>
      <c r="E23" s="5"/>
      <c r="F23" s="5"/>
      <c r="G23" s="7"/>
      <c r="H23" s="5"/>
      <c r="I23" s="57"/>
      <c r="J23" s="57"/>
      <c r="K23" s="5"/>
      <c r="L23" s="5"/>
      <c r="M23" s="5"/>
      <c r="N23" s="5"/>
      <c r="O23" s="5"/>
    </row>
    <row r="24" spans="1:18" s="4" customFormat="1" ht="16.2" thickBot="1">
      <c r="D24" s="18"/>
      <c r="G24" s="19"/>
      <c r="I24" s="20"/>
      <c r="J24" s="20"/>
    </row>
    <row r="25" spans="1:18" s="4" customFormat="1">
      <c r="A25" s="94" t="s">
        <v>42</v>
      </c>
      <c r="B25" s="95"/>
      <c r="C25" s="95"/>
      <c r="D25" s="95"/>
      <c r="E25" s="95"/>
      <c r="F25" s="96"/>
      <c r="G25" s="85" t="s">
        <v>43</v>
      </c>
      <c r="H25" s="85"/>
      <c r="I25" s="85"/>
      <c r="J25" s="85"/>
      <c r="K25" s="85"/>
      <c r="L25" s="85"/>
      <c r="M25" s="86"/>
      <c r="N25" s="89" t="s">
        <v>44</v>
      </c>
      <c r="O25" s="90"/>
      <c r="P25" s="91"/>
    </row>
    <row r="26" spans="1:18" s="4" customFormat="1" ht="14.25" customHeight="1" thickBot="1">
      <c r="A26" s="97"/>
      <c r="B26" s="98"/>
      <c r="C26" s="98"/>
      <c r="D26" s="98"/>
      <c r="E26" s="98"/>
      <c r="F26" s="99"/>
      <c r="G26" s="87"/>
      <c r="H26" s="87"/>
      <c r="I26" s="87"/>
      <c r="J26" s="87"/>
      <c r="K26" s="87"/>
      <c r="L26" s="87"/>
      <c r="M26" s="88"/>
      <c r="N26" s="92" t="s">
        <v>42</v>
      </c>
      <c r="O26" s="93"/>
      <c r="P26" s="21" t="s">
        <v>43</v>
      </c>
      <c r="Q26" s="18"/>
    </row>
    <row r="27" spans="1:18" s="4" customFormat="1" ht="62.4">
      <c r="A27" s="63" t="s">
        <v>45</v>
      </c>
      <c r="B27" s="64" t="s">
        <v>46</v>
      </c>
      <c r="C27" s="65" t="s">
        <v>47</v>
      </c>
      <c r="D27" s="66" t="s">
        <v>48</v>
      </c>
      <c r="E27" s="66" t="s">
        <v>49</v>
      </c>
      <c r="F27" s="67" t="s">
        <v>50</v>
      </c>
      <c r="G27" s="68" t="s">
        <v>51</v>
      </c>
      <c r="H27" s="69" t="s">
        <v>52</v>
      </c>
      <c r="I27" s="70" t="s">
        <v>53</v>
      </c>
      <c r="J27" s="70" t="s">
        <v>54</v>
      </c>
      <c r="K27" s="71" t="s">
        <v>55</v>
      </c>
      <c r="L27" s="71" t="s">
        <v>56</v>
      </c>
      <c r="M27" s="72" t="s">
        <v>156</v>
      </c>
      <c r="N27" s="73" t="s">
        <v>57</v>
      </c>
      <c r="O27" s="74" t="s">
        <v>58</v>
      </c>
      <c r="P27" s="75" t="s">
        <v>59</v>
      </c>
    </row>
    <row r="28" spans="1:18" s="4" customFormat="1">
      <c r="A28" s="32">
        <v>1</v>
      </c>
      <c r="B28" s="78" t="s">
        <v>168</v>
      </c>
      <c r="C28" s="79" t="s">
        <v>168</v>
      </c>
      <c r="D28" s="76"/>
      <c r="E28" s="76"/>
      <c r="F28" s="76">
        <v>10</v>
      </c>
      <c r="G28" s="82">
        <v>1036000</v>
      </c>
      <c r="H28" s="82">
        <f>F28*G28</f>
        <v>10360000</v>
      </c>
      <c r="I28" s="82">
        <v>900000</v>
      </c>
      <c r="J28" s="82">
        <f>F28*I28</f>
        <v>9000000</v>
      </c>
      <c r="K28" s="77">
        <f xml:space="preserve"> 1 - J28/H28</f>
        <v>0.13127413127413123</v>
      </c>
      <c r="L28" s="82">
        <v>13000000</v>
      </c>
      <c r="M28" s="82">
        <v>1000000</v>
      </c>
      <c r="N28" s="76"/>
      <c r="O28" s="76"/>
      <c r="P28" s="76"/>
      <c r="Q28" s="30"/>
    </row>
    <row r="29" spans="1:18" s="4" customFormat="1">
      <c r="A29" s="32">
        <v>2</v>
      </c>
      <c r="B29" s="78" t="s">
        <v>169</v>
      </c>
      <c r="C29" s="80" t="s">
        <v>170</v>
      </c>
      <c r="D29" s="76"/>
      <c r="E29" s="76"/>
      <c r="F29" s="76">
        <v>15</v>
      </c>
      <c r="G29" s="82">
        <v>9000000</v>
      </c>
      <c r="H29" s="82">
        <f t="shared" ref="H29:H30" si="0">F29*G29</f>
        <v>135000000</v>
      </c>
      <c r="I29" s="82">
        <v>7000000</v>
      </c>
      <c r="J29" s="82">
        <f t="shared" ref="J29" si="1">F29*I29</f>
        <v>105000000</v>
      </c>
      <c r="K29" s="77">
        <f t="shared" ref="K29:K30" si="2" xml:space="preserve"> 1 - J29/H29</f>
        <v>0.22222222222222221</v>
      </c>
      <c r="L29" s="82">
        <v>135500000</v>
      </c>
      <c r="M29" s="82">
        <v>8000000</v>
      </c>
      <c r="N29" s="76"/>
      <c r="O29" s="76"/>
      <c r="P29" s="76"/>
      <c r="Q29" s="30"/>
    </row>
    <row r="30" spans="1:18" s="4" customFormat="1">
      <c r="A30" s="22">
        <v>2</v>
      </c>
      <c r="B30" s="81" t="s">
        <v>171</v>
      </c>
      <c r="C30" s="80" t="s">
        <v>172</v>
      </c>
      <c r="D30" s="76"/>
      <c r="E30" s="76"/>
      <c r="F30" s="76">
        <v>23</v>
      </c>
      <c r="G30" s="82">
        <v>480000</v>
      </c>
      <c r="H30" s="82">
        <f t="shared" si="0"/>
        <v>11040000</v>
      </c>
      <c r="I30" s="82">
        <v>300000</v>
      </c>
      <c r="J30" s="82">
        <f>F30*I30</f>
        <v>6900000</v>
      </c>
      <c r="K30" s="77">
        <f t="shared" si="2"/>
        <v>0.375</v>
      </c>
      <c r="L30" s="82">
        <v>12700000</v>
      </c>
      <c r="M30" s="82">
        <v>400900</v>
      </c>
      <c r="N30" s="76"/>
      <c r="O30" s="76"/>
      <c r="P30" s="76"/>
      <c r="Q30" s="30"/>
    </row>
    <row r="31" spans="1:18" s="4" customFormat="1">
      <c r="A31" s="22"/>
      <c r="B31" s="23"/>
      <c r="C31" s="23"/>
      <c r="D31" s="22"/>
      <c r="E31" s="24"/>
      <c r="F31" s="22"/>
      <c r="G31" s="25"/>
      <c r="H31" s="25"/>
      <c r="I31" s="26"/>
      <c r="J31" s="27"/>
      <c r="K31" s="28"/>
      <c r="L31" s="29"/>
      <c r="M31" s="31"/>
      <c r="N31" s="24"/>
      <c r="O31" s="24"/>
      <c r="P31" s="24"/>
    </row>
    <row r="33" spans="4:10 16363:16378">
      <c r="D33" s="4"/>
      <c r="G33" s="4"/>
      <c r="I33" s="4"/>
      <c r="J33" s="4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</row>
    <row r="34" spans="4:10 16363:16378">
      <c r="D34" s="4"/>
      <c r="G34" s="4"/>
      <c r="I34" s="4"/>
      <c r="J34" s="4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</row>
    <row r="35" spans="4:10 16363:16378">
      <c r="D35" s="4"/>
      <c r="G35" s="4"/>
      <c r="I35" s="4"/>
      <c r="J35" s="4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</row>
    <row r="36" spans="4:10 16363:16378">
      <c r="D36" s="4"/>
      <c r="G36" s="4"/>
      <c r="I36" s="4"/>
      <c r="J36" s="4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</row>
    <row r="37" spans="4:10 16363:16378">
      <c r="D37" s="4"/>
      <c r="G37" s="4"/>
      <c r="I37" s="4"/>
      <c r="J37" s="4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</row>
    <row r="38" spans="4:10 16363:16378">
      <c r="D38" s="4"/>
      <c r="G38" s="4"/>
      <c r="I38" s="4"/>
      <c r="J38" s="4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</row>
    <row r="39" spans="4:10 16363:16378">
      <c r="D39" s="4"/>
      <c r="G39" s="4"/>
      <c r="I39" s="4"/>
      <c r="J39" s="4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</row>
    <row r="40" spans="4:10 16363:16378">
      <c r="D40" s="4"/>
      <c r="G40" s="4"/>
      <c r="I40" s="4"/>
      <c r="J40" s="4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</row>
  </sheetData>
  <mergeCells count="7">
    <mergeCell ref="B8:H8"/>
    <mergeCell ref="I9:J9"/>
    <mergeCell ref="G25:M26"/>
    <mergeCell ref="N25:P25"/>
    <mergeCell ref="N26:O26"/>
    <mergeCell ref="A25:F26"/>
    <mergeCell ref="B9:H9"/>
  </mergeCells>
  <phoneticPr fontId="14" type="noConversion"/>
  <dataValidations count="2">
    <dataValidation type="date" allowBlank="1" showInputMessage="1" showErrorMessage="1" sqref="M19" xr:uid="{3B15441F-50B4-404A-BEFB-2B66892D1E47}">
      <formula1>45764</formula1>
      <formula2>401875</formula2>
    </dataValidation>
    <dataValidation allowBlank="1" showInputMessage="1" showErrorMessage="1" sqref="C5" xr:uid="{3EF789D6-9E8F-4864-8C63-40D8C1BABA23}"/>
  </dataValidations>
  <pageMargins left="0.7" right="0.7" top="0.75" bottom="0.75" header="0.3" footer="0.3"/>
  <pageSetup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3FFFA22-74BE-49EE-8896-E38B257ADCF2}">
          <x14:formula1>
            <xm:f>Sheet1!$B$4:$B$5</xm:f>
          </x14:formula1>
          <xm:sqref>C3</xm:sqref>
        </x14:dataValidation>
        <x14:dataValidation type="list" allowBlank="1" showInputMessage="1" showErrorMessage="1" xr:uid="{8299B0D6-7505-4129-AE4A-1D393DE39CE1}">
          <x14:formula1>
            <xm:f>Sheet1!$J$4:$J$9</xm:f>
          </x14:formula1>
          <xm:sqref>F11:F22</xm:sqref>
        </x14:dataValidation>
        <x14:dataValidation type="list" allowBlank="1" showInputMessage="1" showErrorMessage="1" xr:uid="{E545866E-BCED-4C01-B078-B3DDBA338375}">
          <x14:formula1>
            <xm:f>Sheet1!$Q$3:$Q$4</xm:f>
          </x14:formula1>
          <xm:sqref>I11:J22 N11:N22 O11</xm:sqref>
        </x14:dataValidation>
        <x14:dataValidation type="list" allowBlank="1" showInputMessage="1" showErrorMessage="1" xr:uid="{A5F57D39-E66A-4EA4-8DAF-CB8E86B988D6}">
          <x14:formula1>
            <xm:f>Sheet1!$L$3:$L$9</xm:f>
          </x14:formula1>
          <xm:sqref>G11:G22</xm:sqref>
        </x14:dataValidation>
        <x14:dataValidation type="list" allowBlank="1" showInputMessage="1" showErrorMessage="1" xr:uid="{4C7CAC87-E6CC-4765-BE02-CF998D9DB433}">
          <x14:formula1>
            <xm:f>Sheet1!$D$4:$D$16</xm:f>
          </x14:formula1>
          <xm:sqref>C4</xm:sqref>
        </x14:dataValidation>
        <x14:dataValidation type="list" allowBlank="1" showInputMessage="1" showErrorMessage="1" xr:uid="{55A8F401-337B-4D1B-BFA1-E89711D6F62D}">
          <x14:formula1>
            <xm:f>Sheet1!$U$3:$U$11</xm:f>
          </x14:formula1>
          <xm:sqref>B11:B22</xm:sqref>
        </x14:dataValidation>
        <x14:dataValidation type="list" allowBlank="1" showInputMessage="1" showErrorMessage="1" xr:uid="{C092D2E6-C86F-47C1-A9E4-33EC44F2ECDD}">
          <x14:formula1>
            <xm:f>Sheet1!$G$4:$G$20</xm:f>
          </x14:formula1>
          <xm:sqref>H11:H22</xm:sqref>
        </x14:dataValidation>
        <x14:dataValidation type="list" allowBlank="1" showInputMessage="1" showErrorMessage="1" xr:uid="{B98F3483-4454-4D97-A73C-38C6E61FF5B2}">
          <x14:formula1>
            <xm:f>Sheet1!$W$3:$W$37</xm:f>
          </x14:formula1>
          <xm:sqref>M14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AE9E-CD68-4835-B6BD-015AB2C0EB92}">
  <dimension ref="B2:W37"/>
  <sheetViews>
    <sheetView topLeftCell="F1" workbookViewId="0">
      <selection activeCell="J12" sqref="J12"/>
    </sheetView>
  </sheetViews>
  <sheetFormatPr defaultColWidth="8.77734375" defaultRowHeight="15.6"/>
  <cols>
    <col min="1" max="3" width="8.77734375" style="2"/>
    <col min="4" max="4" width="27.77734375" style="2" bestFit="1" customWidth="1"/>
    <col min="5" max="5" width="12.77734375" style="2" bestFit="1" customWidth="1"/>
    <col min="6" max="6" width="16.77734375" style="2" bestFit="1" customWidth="1"/>
    <col min="7" max="7" width="40.33203125" style="2" bestFit="1" customWidth="1"/>
    <col min="8" max="9" width="8.77734375" style="2"/>
    <col min="10" max="10" width="27.21875" style="2" bestFit="1" customWidth="1"/>
    <col min="11" max="11" width="8.77734375" style="2"/>
    <col min="12" max="12" width="17.21875" style="2" bestFit="1" customWidth="1"/>
    <col min="13" max="13" width="10.77734375" style="2" bestFit="1" customWidth="1"/>
    <col min="14" max="14" width="26.44140625" style="2" customWidth="1"/>
    <col min="15" max="15" width="13.5546875" style="2" customWidth="1"/>
    <col min="16" max="16" width="13.21875" style="2" bestFit="1" customWidth="1"/>
    <col min="17" max="18" width="8.77734375" style="2"/>
    <col min="19" max="19" width="14.44140625" style="2" bestFit="1" customWidth="1"/>
    <col min="20" max="20" width="8.77734375" style="2"/>
    <col min="21" max="21" width="13.5546875" style="2" bestFit="1" customWidth="1"/>
    <col min="22" max="22" width="8.77734375" style="2"/>
    <col min="23" max="23" width="13.5546875" style="2" bestFit="1" customWidth="1"/>
    <col min="24" max="16384" width="8.77734375" style="2"/>
  </cols>
  <sheetData>
    <row r="2" spans="2:23">
      <c r="B2" s="2" t="s">
        <v>3</v>
      </c>
      <c r="D2" s="2" t="s">
        <v>60</v>
      </c>
      <c r="G2" s="2" t="s">
        <v>61</v>
      </c>
      <c r="J2" s="2" t="s">
        <v>62</v>
      </c>
      <c r="L2" s="2" t="s">
        <v>63</v>
      </c>
      <c r="N2" s="2" t="s">
        <v>60</v>
      </c>
      <c r="Q2" s="2" t="s">
        <v>64</v>
      </c>
      <c r="S2" s="2" t="s">
        <v>65</v>
      </c>
      <c r="U2" s="2" t="s">
        <v>66</v>
      </c>
      <c r="W2" s="42" t="s">
        <v>67</v>
      </c>
    </row>
    <row r="3" spans="2:23">
      <c r="L3" s="2" t="s">
        <v>25</v>
      </c>
      <c r="N3" s="2" t="s">
        <v>4</v>
      </c>
      <c r="O3" s="2" t="s">
        <v>68</v>
      </c>
      <c r="Q3" s="3"/>
      <c r="S3" s="2" t="s">
        <v>69</v>
      </c>
      <c r="U3" s="3">
        <v>1</v>
      </c>
      <c r="W3" s="42" t="s">
        <v>70</v>
      </c>
    </row>
    <row r="4" spans="2:23">
      <c r="B4" s="2" t="s">
        <v>4</v>
      </c>
      <c r="C4" s="2" t="s">
        <v>4</v>
      </c>
      <c r="D4" s="2" t="s">
        <v>71</v>
      </c>
      <c r="G4" s="2" t="s">
        <v>72</v>
      </c>
      <c r="J4" s="2" t="s">
        <v>73</v>
      </c>
      <c r="L4" s="2" t="s">
        <v>74</v>
      </c>
      <c r="N4" s="2" t="s">
        <v>75</v>
      </c>
      <c r="O4" s="2" t="s">
        <v>76</v>
      </c>
      <c r="Q4" s="3" t="s">
        <v>77</v>
      </c>
      <c r="S4" s="2" t="s">
        <v>78</v>
      </c>
      <c r="U4" s="3">
        <v>2</v>
      </c>
      <c r="W4" s="42" t="s">
        <v>79</v>
      </c>
    </row>
    <row r="5" spans="2:23">
      <c r="B5" s="2" t="s">
        <v>68</v>
      </c>
      <c r="C5" s="2" t="s">
        <v>4</v>
      </c>
      <c r="D5" s="2" t="s">
        <v>80</v>
      </c>
      <c r="G5" s="2" t="s">
        <v>81</v>
      </c>
      <c r="J5" s="2" t="s">
        <v>82</v>
      </c>
      <c r="L5" s="2" t="s">
        <v>83</v>
      </c>
      <c r="N5" s="2" t="s">
        <v>84</v>
      </c>
      <c r="O5" s="2" t="s">
        <v>85</v>
      </c>
      <c r="S5" s="2" t="s">
        <v>86</v>
      </c>
      <c r="U5" s="3">
        <v>3</v>
      </c>
      <c r="W5" s="42" t="s">
        <v>87</v>
      </c>
    </row>
    <row r="6" spans="2:23">
      <c r="C6" s="2" t="s">
        <v>4</v>
      </c>
      <c r="D6" s="2" t="s">
        <v>88</v>
      </c>
      <c r="G6" s="2" t="s">
        <v>89</v>
      </c>
      <c r="J6" s="2" t="s">
        <v>154</v>
      </c>
      <c r="L6" s="2" t="s">
        <v>90</v>
      </c>
      <c r="N6" s="2" t="s">
        <v>91</v>
      </c>
      <c r="O6" s="2" t="s">
        <v>92</v>
      </c>
      <c r="S6" s="2" t="s">
        <v>83</v>
      </c>
      <c r="U6" s="3">
        <v>4</v>
      </c>
      <c r="W6" s="42" t="s">
        <v>93</v>
      </c>
    </row>
    <row r="7" spans="2:23">
      <c r="C7" s="2" t="s">
        <v>4</v>
      </c>
      <c r="D7" s="2" t="s">
        <v>94</v>
      </c>
      <c r="G7" s="2" t="s">
        <v>95</v>
      </c>
      <c r="J7" s="2" t="s">
        <v>155</v>
      </c>
      <c r="L7" s="2" t="s">
        <v>28</v>
      </c>
      <c r="N7" s="2" t="s">
        <v>96</v>
      </c>
      <c r="O7" s="2" t="s">
        <v>97</v>
      </c>
      <c r="S7" s="2" t="s">
        <v>90</v>
      </c>
      <c r="U7" s="3">
        <v>5</v>
      </c>
      <c r="W7" s="42" t="s">
        <v>98</v>
      </c>
    </row>
    <row r="8" spans="2:23">
      <c r="C8" s="2" t="s">
        <v>4</v>
      </c>
      <c r="D8" s="2" t="s">
        <v>99</v>
      </c>
      <c r="G8" s="2" t="s">
        <v>100</v>
      </c>
      <c r="J8" s="2" t="s">
        <v>101</v>
      </c>
      <c r="L8" s="2" t="s">
        <v>69</v>
      </c>
      <c r="N8" s="2" t="s">
        <v>102</v>
      </c>
      <c r="O8" s="2" t="s">
        <v>100</v>
      </c>
      <c r="S8" s="2" t="s">
        <v>103</v>
      </c>
      <c r="U8" s="3">
        <v>6</v>
      </c>
      <c r="W8" s="42" t="s">
        <v>104</v>
      </c>
    </row>
    <row r="9" spans="2:23">
      <c r="C9" s="2" t="s">
        <v>4</v>
      </c>
      <c r="D9" s="2" t="s">
        <v>105</v>
      </c>
      <c r="G9" s="2" t="s">
        <v>106</v>
      </c>
      <c r="J9" s="2" t="s">
        <v>107</v>
      </c>
      <c r="L9" s="2" t="s">
        <v>23</v>
      </c>
      <c r="N9" s="2" t="s">
        <v>107</v>
      </c>
      <c r="U9" s="3">
        <v>7</v>
      </c>
      <c r="W9" s="42" t="s">
        <v>108</v>
      </c>
    </row>
    <row r="10" spans="2:23">
      <c r="C10" s="2" t="s">
        <v>68</v>
      </c>
      <c r="D10" s="2" t="s">
        <v>109</v>
      </c>
      <c r="G10" s="2" t="s">
        <v>110</v>
      </c>
      <c r="U10" s="3">
        <v>8</v>
      </c>
      <c r="W10" s="42" t="s">
        <v>111</v>
      </c>
    </row>
    <row r="11" spans="2:23">
      <c r="C11" s="2" t="s">
        <v>68</v>
      </c>
      <c r="D11" s="2" t="s">
        <v>112</v>
      </c>
      <c r="G11" s="2" t="s">
        <v>113</v>
      </c>
      <c r="U11" s="3">
        <v>9</v>
      </c>
      <c r="W11" s="42" t="s">
        <v>114</v>
      </c>
    </row>
    <row r="12" spans="2:23">
      <c r="C12" s="2" t="s">
        <v>68</v>
      </c>
      <c r="D12" s="2" t="s">
        <v>115</v>
      </c>
      <c r="G12" s="2" t="s">
        <v>116</v>
      </c>
      <c r="W12" s="42" t="s">
        <v>117</v>
      </c>
    </row>
    <row r="13" spans="2:23">
      <c r="C13" s="2" t="s">
        <v>68</v>
      </c>
      <c r="D13" s="2" t="s">
        <v>118</v>
      </c>
      <c r="G13" s="2" t="s">
        <v>119</v>
      </c>
      <c r="W13" s="42" t="s">
        <v>120</v>
      </c>
    </row>
    <row r="14" spans="2:23">
      <c r="C14" s="2" t="s">
        <v>68</v>
      </c>
      <c r="D14" s="2" t="s">
        <v>121</v>
      </c>
      <c r="G14" s="2" t="s">
        <v>122</v>
      </c>
      <c r="W14" s="42" t="s">
        <v>123</v>
      </c>
    </row>
    <row r="15" spans="2:23">
      <c r="C15" s="2" t="s">
        <v>68</v>
      </c>
      <c r="D15" s="2" t="s">
        <v>124</v>
      </c>
      <c r="G15" s="2" t="s">
        <v>125</v>
      </c>
      <c r="W15" s="42" t="s">
        <v>126</v>
      </c>
    </row>
    <row r="16" spans="2:23">
      <c r="C16" s="2" t="s">
        <v>68</v>
      </c>
      <c r="D16" s="2" t="s">
        <v>127</v>
      </c>
      <c r="G16" s="2" t="s">
        <v>128</v>
      </c>
      <c r="W16" s="42" t="s">
        <v>129</v>
      </c>
    </row>
    <row r="17" spans="7:23">
      <c r="G17" s="2" t="s">
        <v>130</v>
      </c>
      <c r="W17" s="42" t="s">
        <v>131</v>
      </c>
    </row>
    <row r="18" spans="7:23">
      <c r="G18" s="2" t="s">
        <v>132</v>
      </c>
      <c r="W18" s="42" t="s">
        <v>133</v>
      </c>
    </row>
    <row r="19" spans="7:23">
      <c r="G19" s="42" t="s">
        <v>134</v>
      </c>
      <c r="W19" s="42" t="s">
        <v>135</v>
      </c>
    </row>
    <row r="20" spans="7:23">
      <c r="G20" s="2" t="s">
        <v>107</v>
      </c>
      <c r="W20" s="42" t="s">
        <v>136</v>
      </c>
    </row>
    <row r="21" spans="7:23">
      <c r="W21" s="42" t="s">
        <v>137</v>
      </c>
    </row>
    <row r="22" spans="7:23">
      <c r="W22" s="42" t="s">
        <v>138</v>
      </c>
    </row>
    <row r="23" spans="7:23">
      <c r="W23" s="42" t="s">
        <v>139</v>
      </c>
    </row>
    <row r="24" spans="7:23">
      <c r="W24" s="42" t="s">
        <v>140</v>
      </c>
    </row>
    <row r="25" spans="7:23">
      <c r="W25" s="42" t="s">
        <v>141</v>
      </c>
    </row>
    <row r="26" spans="7:23">
      <c r="W26" s="42" t="s">
        <v>142</v>
      </c>
    </row>
    <row r="27" spans="7:23">
      <c r="W27" s="42" t="s">
        <v>143</v>
      </c>
    </row>
    <row r="28" spans="7:23">
      <c r="W28" s="42" t="s">
        <v>144</v>
      </c>
    </row>
    <row r="29" spans="7:23">
      <c r="W29" s="42" t="s">
        <v>145</v>
      </c>
    </row>
    <row r="30" spans="7:23">
      <c r="W30" s="42" t="s">
        <v>146</v>
      </c>
    </row>
    <row r="31" spans="7:23">
      <c r="W31" s="42" t="s">
        <v>147</v>
      </c>
    </row>
    <row r="32" spans="7:23">
      <c r="W32" s="42" t="s">
        <v>148</v>
      </c>
    </row>
    <row r="33" spans="23:23">
      <c r="W33" s="42" t="s">
        <v>149</v>
      </c>
    </row>
    <row r="34" spans="23:23">
      <c r="W34" s="42" t="s">
        <v>150</v>
      </c>
    </row>
    <row r="35" spans="23:23">
      <c r="W35" s="42" t="s">
        <v>151</v>
      </c>
    </row>
    <row r="36" spans="23:23">
      <c r="W36" s="42" t="s">
        <v>152</v>
      </c>
    </row>
    <row r="37" spans="23:23">
      <c r="W37" s="2" t="s">
        <v>153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FBA88DF67EA4E87765BA76F42A06F" ma:contentTypeVersion="11" ma:contentTypeDescription="Create a new document." ma:contentTypeScope="" ma:versionID="84061558a1e65478af30d3c6881b8e7e">
  <xsd:schema xmlns:xsd="http://www.w3.org/2001/XMLSchema" xmlns:xs="http://www.w3.org/2001/XMLSchema" xmlns:p="http://schemas.microsoft.com/office/2006/metadata/properties" xmlns:ns2="5b3d2f49-f54f-4e33-b86b-970b2d02614c" xmlns:ns3="2e5a6c60-b634-4b8b-afd9-2abe39c5e156" targetNamespace="http://schemas.microsoft.com/office/2006/metadata/properties" ma:root="true" ma:fieldsID="a4434961b9179089653887e3e0e5c4a1" ns2:_="" ns3:_="">
    <xsd:import namespace="5b3d2f49-f54f-4e33-b86b-970b2d02614c"/>
    <xsd:import namespace="2e5a6c60-b634-4b8b-afd9-2abe39c5e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d2f49-f54f-4e33-b86b-970b2d026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380dad-fbb1-4939-beea-699e55e8c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a6c60-b634-4b8b-afd9-2abe39c5e1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3b2f4b-a6ea-4782-b7e4-9c2ab191b9f1}" ma:internalName="TaxCatchAll" ma:showField="CatchAllData" ma:web="2e5a6c60-b634-4b8b-afd9-2abe39c5e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3d2f49-f54f-4e33-b86b-970b2d02614c">
      <Terms xmlns="http://schemas.microsoft.com/office/infopath/2007/PartnerControls"/>
    </lcf76f155ced4ddcb4097134ff3c332f>
    <TaxCatchAll xmlns="2e5a6c60-b634-4b8b-afd9-2abe39c5e156" xsi:nil="true"/>
  </documentManagement>
</p:properties>
</file>

<file path=customXml/itemProps1.xml><?xml version="1.0" encoding="utf-8"?>
<ds:datastoreItem xmlns:ds="http://schemas.openxmlformats.org/officeDocument/2006/customXml" ds:itemID="{EEBE1B86-61B2-4505-94EA-FFA308DABF6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2EBABEB-73FE-4687-AAA5-A862DD9974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BCDCCA-8846-41DA-A850-2CA6095B4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d2f49-f54f-4e33-b86b-970b2d02614c"/>
    <ds:schemaRef ds:uri="2e5a6c60-b634-4b8b-afd9-2abe39c5e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15152C3-2249-45A2-A698-3B58EBCCEF65}">
  <ds:schemaRefs>
    <ds:schemaRef ds:uri="http://schemas.microsoft.com/office/2006/metadata/properties"/>
    <ds:schemaRef ds:uri="http://schemas.microsoft.com/office/infopath/2007/PartnerControls"/>
    <ds:schemaRef ds:uri="5b3d2f49-f54f-4e33-b86b-970b2d02614c"/>
    <ds:schemaRef ds:uri="2e5a6c60-b634-4b8b-afd9-2abe39c5e1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 price_PP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Tiep Nguyen</dc:creator>
  <cp:keywords/>
  <dc:description/>
  <cp:lastModifiedBy>Van Thanh Duoc Do</cp:lastModifiedBy>
  <cp:revision/>
  <dcterms:created xsi:type="dcterms:W3CDTF">2020-03-24T03:46:00Z</dcterms:created>
  <dcterms:modified xsi:type="dcterms:W3CDTF">2026-06-28T18:24:42Z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AC8734726D0844B999BFA769C6CA60B0_12</vt:lpwstr>
  </property>
  <property fmtid="{D5CDD505-2E9C-101B-9397-08002B2CF9AE}" pid="3" name="KSOProductBuildVer">
    <vt:lpwstr>1033-12.2.0.16909</vt:lpwstr>
  </property>
  <property fmtid="{D5CDD505-2E9C-101B-9397-08002B2CF9AE}" pid="4" name="ContentTypeId">
    <vt:lpwstr>0x010100165FBA88DF67EA4E87765BA76F42A06F</vt:lpwstr>
  </property>
  <property fmtid="{D5CDD505-2E9C-101B-9397-08002B2CF9AE}" pid="5" name="MediaServiceImageTags">
    <vt:lpwstr/>
  </property>
</Properties>
</file>